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hidePivotFieldList="1"/>
  <mc:AlternateContent xmlns:mc="http://schemas.openxmlformats.org/markup-compatibility/2006">
    <mc:Choice Requires="x15">
      <x15ac:absPath xmlns:x15ac="http://schemas.microsoft.com/office/spreadsheetml/2010/11/ac" url="C:\Users\danny\Maestría Ciencia de Datos USFQ\tesis-riesgo-pais-ecuador\data\raw\"/>
    </mc:Choice>
  </mc:AlternateContent>
  <xr:revisionPtr revIDLastSave="0" documentId="13_ncr:1_{DA41210A-8CF6-470F-BA12-4741364C28AA}" xr6:coauthVersionLast="47" xr6:coauthVersionMax="47" xr10:uidLastSave="{00000000-0000-0000-0000-000000000000}"/>
  <bookViews>
    <workbookView xWindow="-110" yWindow="-110" windowWidth="19420" windowHeight="10300" tabRatio="252" firstSheet="1" activeTab="1" xr2:uid="{00000000-000D-0000-FFFF-FFFF00000000}"/>
  </bookViews>
  <sheets>
    <sheet name="RMI y RILD" sheetId="9" r:id="rId1"/>
    <sheet name="RI_n" sheetId="10" r:id="rId2"/>
    <sheet name="explicación" sheetId="6" r:id="rId3"/>
    <sheet name="ri" sheetId="7" r:id="rId4"/>
    <sheet name="Hoja1" sheetId="8" r:id="rId5"/>
  </sheets>
  <externalReferences>
    <externalReference r:id="rId6"/>
    <externalReference r:id="rId7"/>
  </externalReferences>
  <definedNames>
    <definedName name="_xlnm.Print_Area" localSheetId="2">explicación!$B$3:$J$5</definedName>
    <definedName name="_xlnm.Print_Area" localSheetId="0">'RMI y RILD'!$A$1:$C$249,'RMI y RILD'!#REF!</definedName>
    <definedName name="hoja1" localSheetId="0">'RMI y RILD'!$A$1:$D$254</definedName>
    <definedName name="hoja2" localSheetId="0">'RMI y RILD'!#REF!</definedName>
    <definedName name="hoja2">[1]RILD!#REF!</definedName>
    <definedName name="OLE_LINK3" localSheetId="2">explicación!$D$55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7" l="1"/>
  <c r="E4" i="7" s="1"/>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AK4" i="7" s="1"/>
  <c r="AL4" i="7" s="1"/>
  <c r="AM4" i="7" s="1"/>
  <c r="AN4" i="7" s="1"/>
  <c r="AO4" i="7" s="1"/>
  <c r="AP4" i="7" s="1"/>
  <c r="AQ4" i="7" s="1"/>
  <c r="AR4" i="7" s="1"/>
  <c r="AS4" i="7" s="1"/>
  <c r="AT4" i="7" s="1"/>
  <c r="AU4" i="7" s="1"/>
  <c r="AV4" i="7" s="1"/>
  <c r="AW4" i="7" s="1"/>
  <c r="AX4" i="7" s="1"/>
  <c r="AY4" i="7" s="1"/>
  <c r="AZ4" i="7" s="1"/>
  <c r="BA4" i="7" s="1"/>
  <c r="BB4" i="7" s="1"/>
  <c r="BC4" i="7" s="1"/>
  <c r="BD4" i="7" s="1"/>
  <c r="BE4" i="7" s="1"/>
  <c r="BF4" i="7" s="1"/>
  <c r="BG4" i="7" s="1"/>
  <c r="BH4" i="7" s="1"/>
  <c r="BI4" i="7" s="1"/>
  <c r="BJ4" i="7" s="1"/>
  <c r="BK4" i="7" s="1"/>
  <c r="BL4" i="7" s="1"/>
  <c r="BM4" i="7" s="1"/>
  <c r="BN4" i="7" s="1"/>
  <c r="BO4" i="7" s="1"/>
  <c r="BP4" i="7" s="1"/>
  <c r="BQ4" i="7" s="1"/>
  <c r="BR4" i="7" s="1"/>
  <c r="BS4" i="7" s="1"/>
  <c r="BT4" i="7" s="1"/>
  <c r="BU4" i="7" s="1"/>
  <c r="BV4" i="7" s="1"/>
  <c r="BW4" i="7" s="1"/>
  <c r="BX4" i="7" s="1"/>
  <c r="BY4" i="7" s="1"/>
  <c r="BZ4" i="7" s="1"/>
  <c r="CA4" i="7" s="1"/>
  <c r="CB4" i="7" s="1"/>
  <c r="CC4" i="7" s="1"/>
  <c r="CD4" i="7" s="1"/>
  <c r="CE4" i="7" s="1"/>
  <c r="CF4" i="7" s="1"/>
  <c r="CG4" i="7" s="1"/>
  <c r="CH4" i="7" s="1"/>
  <c r="CI4" i="7" s="1"/>
  <c r="CJ4" i="7" s="1"/>
  <c r="CK4" i="7" s="1"/>
  <c r="CL4" i="7" s="1"/>
  <c r="CM4" i="7" s="1"/>
  <c r="CN4" i="7" s="1"/>
  <c r="CO4" i="7" s="1"/>
  <c r="CP4" i="7" s="1"/>
  <c r="CQ4" i="7" s="1"/>
  <c r="CR4" i="7" s="1"/>
  <c r="CS4" i="7" s="1"/>
  <c r="CT4" i="7" s="1"/>
  <c r="CU4" i="7" s="1"/>
  <c r="CV4" i="7" s="1"/>
  <c r="CW4" i="7" s="1"/>
  <c r="CX4" i="7" s="1"/>
  <c r="CY4" i="7" s="1"/>
  <c r="CZ4" i="7" s="1"/>
  <c r="DA4" i="7" s="1"/>
  <c r="DB4" i="7" s="1"/>
  <c r="DC4" i="7" s="1"/>
  <c r="DD4" i="7" s="1"/>
  <c r="DE4" i="7" s="1"/>
  <c r="DF4" i="7" s="1"/>
  <c r="DG4" i="7" s="1"/>
  <c r="DH4" i="7" s="1"/>
  <c r="DI4" i="7" s="1"/>
  <c r="DJ4" i="7" s="1"/>
  <c r="DK4" i="7" s="1"/>
  <c r="DL4" i="7" s="1"/>
  <c r="DM4" i="7" s="1"/>
  <c r="DN4" i="7" s="1"/>
  <c r="DO4" i="7" s="1"/>
  <c r="DP4" i="7" s="1"/>
  <c r="DQ4" i="7" s="1"/>
  <c r="DR4" i="7" s="1"/>
  <c r="DS4" i="7" s="1"/>
  <c r="DT4" i="7" s="1"/>
  <c r="DU4" i="7" s="1"/>
  <c r="DV4" i="7" s="1"/>
</calcChain>
</file>

<file path=xl/sharedStrings.xml><?xml version="1.0" encoding="utf-8"?>
<sst xmlns="http://schemas.openxmlformats.org/spreadsheetml/2006/main" count="150" uniqueCount="144">
  <si>
    <t>Reserva Internacional de Libre Disponibilidad</t>
  </si>
  <si>
    <t>(En millones de US$)</t>
  </si>
  <si>
    <t xml:space="preserve">En enero de 2011, las reservas internacionales aumentaron en USD 247.4 millones, lo que significó que el saldo en este mes registrara un valor de USD 2,869.5 millones (mientras que en diciembre de 2010 fue USD 2,622.1 millones). 
Los principales ingresos en este mes fueron: 
• Recaudación principales impuestos USD 696.4 millones (IVA USD 293.9 millones, a la renta global USD 226.4 millones, arancelarios USD 138.2 millones, ICE USD 37.9 millones); 
• Exportaciones de petróleo y derivados USD 574.8 millones;
• Depósitos Fondos de Seguridad Social USD 169.9 millones;
• Depósitos Gobiernos Locales USD 135 millones;
• Desembolsos deuda externa USD 130.6 millones;
• Depósitos Empresas Públicas no Financieras USD 79.8 millones;
• Exportaciones privadas USD 35.8 millones (ALADI), entre otros.
Estos ingresos se compensaron por los siguientes egresos: 
• Desacumulación neta depósitos Gobierno Central USD 847.4 millones;
• Pagos por importaciones sector público USD 295.7 millones;
• Retiro de depósitos Sistema Financiero USD 281.2 millones;
• Servicio de la deuda externa e interna por USD 102.1 millones (amortización e intereses de la deuda externa e interna por USD 92.2 millones y USD 9.9 millones, respectivamente);
• Otros servicios y transferencias internacionales USD 48.4 millones; 
• Emisión monetaria USD 0.1 millones, entre otros.
</t>
  </si>
  <si>
    <t xml:space="preserve">En diciembre de 2010, las reservas internacionales disminuyeron en USD 829.1 millones, lo que significó que el saldo en este mes registrara un valor de USD 2,622.1 millones (mientras que en noviembre de 2010 fue USD 3,451.1 millones). 
Los principales ingresos en este mes fueron: 
• Recaudación principales impuestos USD 680 millones (IVA USD 387.1 millones, a la renta global USD 153.3 millones, arancelarios USD 107.5 millones, ICE USD 32.1 millones); 
• Exportaciones de petróleo y derivados USD 552.3 millones;
• Desembolsos deuda externa USD 180.8 millones;
• Exportaciones privadas USD 66.7 millones (ALADI);
• Emisión deuda interna USD 4.6 millones, entre otros.
Estos ingresos se compensaron por los siguientes egresos: 
• Desacumulación neta depósitos Gobierno Central USD 1,418.1millones;
• Servicio de la deuda externa e interna por USD 216.2 millones (amortización e intereses de la deuda externa e interna por USD 158.6 millones y USD 57.6 millones, respectivamente);
• Retiro de depósitos Gobiernos Locales USD 181.8 millones;
• Retiro de depósitos Empresas Públicas no Financieras USD 177.4 millones;
• Pagos por importaciones sector público USD 144.7 millones;
• Retiro de depósitos Fondos Seguridad Social USD 90.6 millones;
• Otros servicios y transferencias internacionales USD 67.1 millones; 
• Retiro de depósitos Sistema Financiero USD 18.4 millones, entre otros.
</t>
  </si>
  <si>
    <t xml:space="preserve">En noviembre de 2010, las reservas internacionales disminuyeron en USD 217.8 millones, lo que significó que el saldo en este mes registrara un valor de USD 3,451.1 millones (mientras que en octubre de 2010 fue USD 3,668.9 millones). 
Los principales ingresos en este mes fueron: 
• Recaudación principales impuestos USD 681.5 millones (IVA USD 384.6 millones, a la renta global USD 161.7 millones, arancelarios USD 99.8 millones, ICE USD 35.4 millones); 
• Exportaciones de petróleo y derivados USD 529.5 millones;
• Emisión deuda interna USD 179.1 millones;
• Depósitos Empresas Públicas no Financieras USD 80.6 millones;
• Depósitos de los Gobiernos Locales USD 39 millones;
• Exportaciones privadas USD 38.8 millones (ALADI);
• Desembolsos deuda externa USD 28.6 millones, entre otros.
Estos ingresos se compensaron por los siguientes egresos: 
• Desacumulación neta depósitos Gobierno Central USD 1,044.1 millones;
• Pagos por importaciones sector público USD 256.2 millones;
• Retiro de depósitos Fondos Seguridad Social USD 198.3 millones;
• Retiro de depósitos Sistema Financiero USD 170.1 millones;
• Servicio de la deuda externa e interna por USD 85.1 millones (amortización e intereses de la deuda externa e interna por USD 42.8 millones y USD 42.3 millones, respectivamente);
• Otros servicios y transferencias internacionales USD 41.5 millones, entre otros.
</t>
  </si>
  <si>
    <t xml:space="preserve">En octubre de 2010, las reservas internacionales disminuyeron en USD 684.5 millones, lo que significó que el saldo en este mes registrara un valor de USD 3,668.9 millones (mientras que en septiembre de 2010 fue USD 4,353.4 millones). 
Los principales ingresos en este mes fueron: 
• Recaudación principales impuestos USD 630.4 millones (IVA USD 343.6 millones, a la renta global USD 168.7 millones, arancelarios USD 89.2 millones, ICE USD 28.9 millones); 
• Depósitos de la Seguridad Social USD 348.8 millones;
• Depósitos del Sistema Financiero USD 300.8 millones;
• Exportaciones de petróleo y derivados USD 250.7 millones;
• Exportaciones privadas USD 34.9 millones (ALADI);
• Depósitos de los Gobiernos Locales USD 1.1 millones;
• Desembolsos deuda externa USD 0.9 millones;
• Emisión deuda interna USD 0.4 millones, entre otros
Estos ingresos se compensaron por los siguientes egresos: 
• Desacumulación neta depósitos Gobierno Central USD 1,489.9 millones;
• Servicio de la deuda externa e interna por USD 528.2 millones (amortización e intereses de la deuda externa e interna por USD 166.8 millones y USD 361.4 millones, respectivamente);
• Pagos por importaciones sector público USD 178.6 millones;
• Retiro de depósitos Empresas Públicas no Financieras USD 34.8 millones;
• Otros servicios y transferencias internacionales USD 21 millones, entre otros.
</t>
  </si>
  <si>
    <t xml:space="preserve">En septiembre de 2010, las reservas internacionales se incrementaron en USD 863 millones, lo que significó que el saldo en este mes registrara un valor de USD 4.353,4 millones (mientras que en agosto de 2010 fue USD 3.490,4 millones). 
Los principales ingresos en este mes fueron: 
• Desembolsos deuda externa USD 831,3 millones
• Recaudación principales impuestos USD 723,2 millones (IVA USD 359,3 millones, a la renta global USD 238,4 millones, arancelarios USD 94,5 millones, ICE USD 31 millones); 
• Exportaciones de petróleo y derivados USD 371,6 millones;
• Exportaciones privadas USD 64,4 millones (ALADI);
• Depósitos del Sistema Financiero USD 19,6 millones;
• Emisión deuda interna USD 0,4 millones, entre otros
Estos ingresos se compensaron por los siguientes egresos: 
• Desacumulación neta depósitos Gobierno Central USD 792,9 millones;
• Depósitos Empresas Públicas no Financieras USD 136,4
• Pagos por importaciones sector público USD 133,3 millones;
• Servicio de la deuda externa e interna por USD 47,9 millones (amortización e intereses de la deuda externa e interna por USD 47,1 millones y USD 0,8 millones, respectivamente);
• Retiro depósitos Gobiernos Locales USD 23,7 millones;
• Retiro Fondos de Seguridad Social USD 8,4 millones;
• Otros servicios y transferencias internacionales USD 6,2 millones, entre otros.
</t>
  </si>
  <si>
    <t xml:space="preserve">En agosto de 2010, las reservas internacionales disminuyeron en USD 367,2 millones, lo que significó que el saldo en este mes registrara un valor de USD 3.490,4 millones (mientras que en julio de 2010 fue USD 3.857,6 millones). 
Los principales ingresos en este mes fueron: 
• Recaudación principales impuestos USD 681 millones (IVA USD 368,7 millones, a la renta global USD 191 millones, arancelarios USD 88,3 millones, ICE USD 33 millones); 
• Emisión deuda interna USD 519,8 millones;
• Exportaciones de petróleo y derivados USD 418,1 millones;
• Depósitos Empresas Públicas no Financieras USD 181 millones;
• Exportaciones privadas USD 47,4 millones (ALADI);
• Desembolsos deuda externa USD 6,2 millones, entre otros.
Estos ingresos se compensaron por los siguientes egresos: 
• Desacumulación neta depósitos Gobierno Central USD 1.277,8 millones;
• Retiro Fondos de Seguridad Social USD 537,6 millones;
• Pagos por importaciones sector público USD 136,8 millones;
• Retiro depósitos Sistema Financiero USD 110 millones;
• Otros servicios y transferencias internacionales USD 83,7 millones;
• Servicio de la deuda externa e interna por USD 66,6 millones (amortización e intereses de la deuda externa e interna por USD 49,3 millones y USD 17,3 millones, respectivamente);
• Retiro depósitos Gobiernos Locales USD 8,4 millones, entre otros
</t>
  </si>
  <si>
    <t xml:space="preserve">En julio de 2010, las reservas internacionales disminuyeron en USD 245,9 millones, lo que significó que el saldo en este mes registrara un valor de USD 3.857,6 millones (mientras que en junio de 2010 fue USD 4.103,5 millones).  
Los principales ingresos en este mes fueron: 
• Recaudación principales impuestos USD 662,8 millones (IVA USD 328,4 millones, a la renta global USD 223,4 millones, arancelarios USD 79,9 millones, ICE USD 31,1 millones); 
• Exportaciones de petróleo y derivados USD 414,3 millones;
• Exportaciones privadas USD 60,0 millones (ALADI);
• Depósitos Gobiernos Locales USD 44,5 millones;
• Desembolsos deuda externa USD 43,9 millones;
• Depósitos Sistema Financiero USD 38,3 millones, entre otros.
Estos ingresos se compensaron por los siguientes egresos: 
• Desacumulación neta depósitos Gobierno Central USD 1.079,8 millones;
• Pagos por importaciones sector público USD 237,0 millones;
• Retiro depósitos Empresas Públicas no Financieras USD 85,0 millones;
• Servicio de la deuda externa e interna por USD 55,9 millones (amortización e intereses de la deuda externa e interna por USD 41,2 millones y USD 14,7 millones, respectivamente);
• Otros servicios y transferencias internacionales USD 51,2 millones;
• Retiro Fondos de Seguridad Social USD 2,7 millones, entre otros
</t>
  </si>
  <si>
    <t xml:space="preserve">En junio de 2010, las reservas internacionales disminuyeron en USD 471,8 millones, lo que significó que el saldo en este mes registrara un valor de USD 4.103,5 millones (mientras que en mayo de 2010 fue USD 4.575,3 millones).  
Los principales ingresos en este mes fueron: 
• Recaudación principales impuestos USD 593,4 millones (IVA USD 347,5 millones, a la renta global USD 133,5 millones, arancelarios USD 78,9 millones, ICE USD 33,5 millones); 
• Exportaciones de petróleo y derivados USD 281,2 millones;
• Depósitos Fondos de Seguridad Social USD 109 millones;
• Exportaciones privadas USD 85,6 millones (ALADI);
• Emisión deuda interna USD 83,2 millones;
• Depósitos Gobiernos Locales USD 73,9 millones;
• Desembolsos deuda externa USD 9,2 millones;
• Depósitos Empresas Públicas no Financieras USD 7 millones, entre otros.
Estos ingresos se compensaron por los siguientes egresos: 
• Desacumulación neta depósitos Gobierno Central USD 982,7 millones;
• Retiro depósitos Sistema Financiero USD 303,6 millones;
• Servicio de la deuda externa e interna por USD 206,9 millones (amortización e intereses de la deuda externa e interna por USD 153,4 millones y USD 53,5 millones, respectivamente);
• Pagos por importaciones sector público USD 202,1 millones;
• Otros servicios y transferencias internacionales USD 19,2 millones, entre otros
</t>
  </si>
  <si>
    <t xml:space="preserve">En mayo de 2010, las reservas internacionales aumentaron en USD 253,3 millones, lo que significó que el saldo en este mes registrara un valor de USD 4.575,3 millones (mientras que en abril de 2010 fue USD 4.322,0 millones).  
Los principales ingresos en este mes fueron: 
• Recaudación principales impuestos USD 686,2 millones (IVA USD 346,8 millones, a la renta global USD 229,9 millones, arancelarios USD 77,8 millones, ICE USD 31,7 millones); 
• Emisión deuda interna USD 578 millones;
• Exportaciones de petróleo y derivados USD 399,6 millones;
• Depósitos Sistema Financiero USD 129,9 millones;
• Desembolsos deuda externa USD 49,3 millones;
• Exportaciones privadas USD 41,2 millones (ALADI);
• Depósitos Gobiernos Locales USD 16,7 millones, entre otros.
Estos ingresos se compensaron por los siguientes egresos: 
• Desacumulación neta depósitos Gobierno Central USD 818,6 millones;
• Retiro depósitos Fondos de Seguridad Social USD 456,4 millones;
• Pagos por importaciones sector público USD 257 millones;
• Otros servicios y transferencias internacionales USD 52,9 millones;
• Servicio de la deuda externa e interna por USD 40,1 millones (amortización e intereses de la deuda externa e interna por USD 38,9 millones y USD 1,2 millones, respectivamente);
• Depósitos Empresas Públicas no Financieras USD 22,5 millones, entre otros.
</t>
  </si>
  <si>
    <t xml:space="preserve">En abril de 2010, las reservas internacionales aumentaron en USD 314,9 millones, lo que significó que el saldo en este mes registrara un valor de USD 4.322,0 millones (mientras que en marzo de 2010 fue USD 4.007,1 millones).  
Los principales ingresos en este mes fueron: 
• Recaudación principales impuestos USD 823,3 millones (a la renta global USD 440,5 millones, IVA USD 289,5 millones, arancelarios USD 64,9 millones, ICE USD 28,4 millones); 
• Exportaciones de petróleo y derivados USD 467,7 millones;
• Depósitos Sistema Financiero USD 87,9 millones;
• Depósitos Empresas Públicas no Financieras USD 73,8 millones;
• Desembolsos deuda externa USD 69,4 millones;
• Exportaciones privadas USD 35,7 millones (ALADI);
• Depósitos Gobiernos Locales USD 2,7 millones, entre otros.
Estos ingresos se compensaron por los siguientes egresos: 
• Desacumulación neta depósitos Gobierno Central USD 850,8 millones;
• Pagos por importaciones sector público USD 181 millones;
• Servicio de la deuda externa e interna por USD 138,6 millones (amortización e intereses de la deuda externa e interna por USD 95,7 millones y USD 42,9 millones, respectivamente);
• Retiro depósitos Fondos de Seguridad Social USD 38,6 millones;
• Otros servicios y transferencias internacionales USD 37 millones, entre otros.
</t>
  </si>
  <si>
    <t xml:space="preserve">En marzo de 2010, las reservas internacionales aumentaron en USD 404,1 millones, lo que significó que el saldo en este mes registrara un valor de USD 4.007,1 millones (mientras que en febrero de 2010 fue USD 3.603 millones).  
Los principales ingresos en este mes fueron: 
• Recaudación principales impuestos USD 707,3 millones (IVA USD 414 millones, a la renta global USD 188,5 millones, arancelarios USD 75,8 millones, ICE USD 29 millones); 
• Exportaciones de petróleo y derivados USD 401,8 millones;
• Desembolsos deuda externa USD 374,9 millones;
• Depósitos Sistema Financiero USD 187,8 millones;
• Depósitos Fondos de Seguridad Social USD 140,6 millones;
• Exportaciones privadas USD 34,6 millones (ALADI);
• Emisión deuda interna USD 14,0 millones;
• Depósitos Gobiernos Locales USD 13,3 millones, entre otros.
Estos ingresos se compensaron por los siguientes egresos: 
• Desacumulación neta depósitos Gobierno Central USD 1074 millones;
• Pagos por importaciones sector público USD 254,4 millones;
• Retiro depósitos empresas públicas no financieras USD 63,4 millones;
• Otros servicios y transferencias internacionales USD 40,3 millones;
• Servicio de la deuda externa e interna por USD 38,5 millones (amortización e intereses de la deuda externa e interna por USD 38,2 millones y USD 0,3 millones, respectivamente), entre otros.
</t>
  </si>
  <si>
    <t xml:space="preserve">En febrero de 2010, las reservas internacionales disminuyeron en USD 315,2 millones, lo que significó que el saldo en este mes registrara un valor de USD 3.603 millones (mientras que en enero de 2010 fue USD 3.918,2 millones).  
Los principales ingresos en este mes fueron: 
• Recaudación principales impuestos USD 452,3 millones (IVA USD 275,5 millones, a la renta global USD 105,6 millones, arancelarios USD 49,1 millones, ICE USD 22,1 millones); 
• Exportaciones de petróleo y derivados USD 242,3 millones;
• Depósitos Fondos de Seguridad Social USD 113,6 millones;
• Depósitos Empresas Públicas no Financieras USD 108 millones;
• Depósitos Gobiernos Locales USD 47,1 millones;
• Exportaciones privadas USD 17,8 millones (ALADI);
• Desembolsos USD 7,8 millones, entre otros.
Estos ingresos se compensaron por los siguientes egresos: 
• Desacumulación neta depósitos Gobierno Central USD 814,1 millones;
• Retiro depósitos del sistema financiero USD 253,1 millones;
• Pagos por importaciones sector público USD 129,9 millones;
• Servicio de la deuda externa e interna por USD 78,4 millones (amortización e intereses de la deuda externa e interna por USD 61,3 millones y USD 17,1 millones, respectivamente);
• Otros servicios y transferencias internacionales USD 28,8 millones, entre otros.
</t>
  </si>
  <si>
    <t xml:space="preserve">En enero de 2010, las reservas internacionales aumentaron en USD 126,2 millones, lo que significó que el saldo en este mes registrara un valor de USD 3.918,2 millones (mientras que en diciembre de 2009 fue USD 3.792,1 millones).  
Los principales ingresos en este mes fueron: 
• Recaudación principales impuestos USD 598,9 millones (IVA USD 342,3 millones, a la renta global USD 178,3 millones, arancelarios USD 47,3 millones, ICE USD 31 millones); 
• Exportaciones de petróleo y derivados USD 410,1 millones;
• Depósitos Gobiernos Locales USD 74,1 millones;
• Exportaciones privadas USD 33,6 millones (ALADI), entre otros.
Estos ingresos se compensaron por los siguientes egresos: 
• Desacumulación neta depósitos Gobierno Central USD 508,6 millones;
• Pagos por importaciones sector público USD 192,6 millones;
• Retiro depósitos del IESS USD 180,7 millones;
• Servicio de la deuda externa e interna por USD 47,5 millones (amortización e intereses de la deuda externa e interna por USD 32,2 millones y USD 15,3 millones, respectivamente);
• Otros servicios y transferencias internacionales USD 30,7 millones; 
• Retiro depósitos empresas públicas no financieras USD 26,1 millones;
• Retiro depósitos del sistema financiero USD 5 millones; entre otros.
</t>
  </si>
  <si>
    <t xml:space="preserve">En diciembre de 2009, las reservas internacionales disminuyeron en USD 1.444,6 millones, lo que significó que el saldo en este mes registrara un valor de USD 3.792,1 millones (mientras que en noviembre de 2009 fue USD  5.236,7 millones).  
Los principales ingresos en este mes fueron: 
• Depósitos del sector financiero USD 656 millones;
• Recaudación principales impuestos USD 565,6 millones (IVA USD 336,1 millones, a la renta global USD 125,2 millones, arancelarios USD 72,8 millones, ICE USD 31,5 millones); 
• Exportaciones de petróleo y derivados USD 386,1 millones;
• Desembolsos de deuda externa USD 36,4 millones;
• Exportaciones privadas USD 25,5 millones (ALADI), entre otros.
Estos ingresos se compensaron por los siguientes egresos: 
• Desacumulación neta depósitos Gobierno Central USD 2.311,6 millones;
• Pagos por importaciones sector público USD 313,8 millones;
• Servicio de la deuda externa e interna por USD 191,8 millones (amortización e intereses de la deuda externa e interna por USD 132,6 millones y USD 59,2 millones, respectivamente);
• Retiro depósitos del IESS USD 155,9 millones;
• Otros servicios y transferencias internacionales USD 63,7 millones; 
• Retiro depósitos empresas públicas no financieras USD 43,9 millones
• Retiro depósitos de los gobiernos locales USD 34,8 millones; entre otros.
</t>
  </si>
  <si>
    <t xml:space="preserve">En noviembre de 2009, las reservas internacionales se incrementaron en USD 631,9 millones, lo que significó que el saldo en este mes registrara un valor de USD 5.236,7 millones (mientras que en octubre de 2009 fue USD 4.604,8 millones). 
Los principales ingresos en este mes fueron: 
• Recaudación principales impuestos USD 566,2 millones (IVA USD 321,9 millones, a la renta global USD 153,7 millones, arancelarios USD 57,2 millones, ICE USD 33,3 millones); 
• Exportaciones de petróleo y derivados USD 316,1 millones;
• Depósitos del sector financiero USD 131,5 millones;
• Depósitos de los gobiernos locales USD 57,7 millones;
• Exportaciones privadas USD 48,3 millones (ALADI);
• Depósitos empresas públicas no financieras USD 42,7 millones; 
• Desembolsos de deuda externa USD 17,7 millones, entre otros.
Estos ingresos se compensaron por los siguientes egresos: 
• Desacumulación neta depósitos Gobierno Central USD 393 millones;
• Pagos por importaciones sector público USD 74,6 millones;
• Servicio de la deuda externa e interna por USD 37,4 millones (amortización e intereses de la deuda externa e interna por USD 35,1 millones y USD 2,3 millones, respectivamente);
• Depósitos del IESS USD 22,5 millones;
• Otros servicios y transferencias internacionales USD 21,2 millones, entre otros.
</t>
  </si>
  <si>
    <t xml:space="preserve">En octubre de 2009, las reservas internacionales disminuyeron en USD 19,9 millones, lo que significó que el saldo en este mes registrara un valor de USD 4.604,8 millones (mientras que en septiembre de 2009 fue USD 4.624,7 millones). 
Los principales ingresos en este mes fueron: 
• Recaudación principales impuestos USD 484,9 millones (IVA USD 263,5 millones, a la renta global USD 142 millones, arancelarios USD 50,3 millones, ICE USD 29,1 millones); 
• Exportaciones de petróleo y derivados USD 446,7 millones;
• Depósitos del IESS USD 178,9 millones;
• Depósitos del sector financiero USD 108,6 millones;
• Desembolsos de deuda externa USD 76,4 millones;
• Depósitos de gobiernos locales USD 43,9 millones;
• Exportaciones privadas USD 41,2 millones (ALADI);
• Depósitos empresas públicas no financieras USD 15,8 millones, entre otros.
Estos ingresos se compensaron por los siguientes egresos: 
• Desacumulación neta depósitos Gobierno Central USD 1.047,2 millones;
• Servicio de la deuda externa e interna por USD 256,3 millones (amortización e intereses de la deuda externa e interna por USD 111,8 millones y USD 144,5 millones, respectivamente);
• Pagos por importaciones sector público USD 84,2 millones;
• Otros servicios y transferencias internacionales USD 27,3 millones, entre otros.
</t>
  </si>
  <si>
    <t xml:space="preserve">En septiembre de 2009, las reservas internacionales se incrementaron en USD 703,1 millones, lo que significó que el saldo en este mes registrara un valor de USD 4.624,7 millones (mientras que en agosto de 2009 fue USD 3.921,6 millones). 
Los principales ingresos en este mes fueron: 
• Recaudación principales impuestos USD 611,2 millones (IVA USD 287,8 millones, a la renta global USD 245 millones, arancelarios USD 50,1 millones, ICE USD 28,3 millones); 
• Desembolsos de deuda externa USD 400,6 millones
• Exportaciones de petróleo y derivados USD 385,7 millones;
• Depósitos del IESS USD 362 millones;
• Depósitos de gobiernos locales USD 83,8 millones;
• Exportaciones privadas USD 34,5 millones (ALADI), entre otros. 
Estos ingresos se compensaron por los siguientes egresos: 
• Desacumulación neta depósitos Gobierno Central USD 851,2 millones;
• Retiro de depósitos sistema financiero USD 131,8 millones;
• Pagos por importaciones sector público USD 108,1 millones;
• Servicio de la deuda externa e interna por USD 53,9 millones (amortización e intereses de la deuda externa e interna por USD 53,1 millones y USD 0,8 millones, respectivamente);
• Retiro de depósitos empresas públicas no financieras por USD 18,7 millones;
• Otros servicios y transferencias internacionales USD 12,4 millones, entre otros.
</t>
  </si>
  <si>
    <t xml:space="preserve">En agosto de 2009, las reservas internacionales se incrementaron en USD 769,8 millones, lo que significó que el saldo en este mes registrara un valor de USD 3.921,6 millones (mientras que en julio de 2009 fue USD 3.151,8 millones). 
Los principales ingresos en este mes fueron: 
• Recaudación principales impuestos USD 495,6 millones (IVA USD 270,8 millones, a la renta global USD 152 millones, arancelarios USD 46,4 millones, ICE USD 26,4 millones); 
• Acumulación neta depósitos Gobierno Central  USD 365,4 millones;
• Exportaciones de petróleo y derivados USD 215 millones;
• Depósitos sistema financiero USD 77,2 millones;
• Exportaciones privadas USD 59,9 millones (ALADI);
• Depósitos gobiernos locales USD 7,5 millones; 
• Desembolsos de deuda externa USD 2,6 millones, entre otros.
Estos ingresos se compensaron por los siguientes egresos: 
• Retiro de depósitos del IESS por USD 241,7 millones;
• Servicio de la deuda externa e interna por USD 105 millones (amortización e intereses de la deuda externa e interna por USD 54,8 millones y USD 50,2 millones, respectivamente);
• Pagos por importaciones sector público USD 81,6 millones;
• Otros servicios y transferencias por USD 19,3 millones; 
• Retiro de depósitos empresas públicas no financieras por USD 6,4 millones, entre otros.
</t>
  </si>
  <si>
    <t xml:space="preserve">En julio de 2009, las reservas internacionales se incrementaron en USD 476,8 millones, lo que significó que el saldo en este mes registrara un valor de USD 3.151,8 millones (mientras que en junio de 2009 fue USD 2.675 millones). 
Los principales ingresos en este mes fueron: 
• Recaudación principales impuestos USD 628,4 millones (IVA USD 288,4 millones, a la renta global USD 260,6 millones, arancelarios USD 54,8 millones, ICE USD 24,6 millones); 
• Desembolsos de deuda externa USD 511,3 millones;
• Exportaciones de petróleo y derivados USD 273,9 millones;
• Depósitos sistema financiero USD 114,8 millones;
• Exportaciones privadas USD 73,4 millones (ALADI);
• Depósitos empresas públicas no financieras USD 25,5 millones, entre otros.
Estos ingresos se compensaron por los siguientes egresos: 
• Desacumulación neta depósitos Gobierno Central  USD 928,7 millones;
• Pagos por importaciones sector público USD 113,6 millones;
• Servicio de la deuda externa e interna por USD 61,3 millones (amortización e intereses de la deuda externa e interna por USD 36,7 millones y USD 24,6 millones, respectivamente);
• Otros servicios y transferencias por USD 25,6 millones; 
• Retiro de depósitos de gobiernos locales por USD 14,5 millones;
• Retiro de depósitos del IESS por USD 7,5 millones entre otros.
</t>
  </si>
  <si>
    <t xml:space="preserve">En junio de 2009, las reservas internacionales se incrementaron en USD 80,6 millones, lo que significó que el saldo en este mes registrara un valor de USD 2.675 millones (mientras que en mayo de 2009 fue USD 2.594,4 millones). 
Los principales ingresos en este mes fueron: 
• Recaudación principales impuestos USD 514,5 millones (IVA USD 292,2 millones, a la renta global USD 138,8 millones, arancelarios USD 58,2 millones, ICE USD 25,3 millones); 
• Exportaciones de petróleo y derivados USD 283,4 millones;
• Depósitos sistema financiero USD 169,9 millones;
• Depósitos del IESS USD 82,6 millones;
• Depósitos empresas públicas no financieras USD 79,5 millones
• Desembolsos de deuda externa USD 46,7 millones;
• Exportaciones privadas USD 45 millones (ALADI);
• Depósitos gobiernos locales USD 7 millones, entre otros.
Estos ingresos se compensaron por los siguientes egresos: 
• Desacumulación neta depósitos Gobierno Central  USD 853,8 millones;
• Servicio de la deuda externa e interna por USD 189 millones (amortización e intereses de la deuda externa e interna por USD 133,7 millones y USD 55,3 millones, respectivamente);
• Pagos por importaciones sector público USD 89,8 millones;
• Otros servicios y transferencias por USD 15,1 millones; entre otros.
</t>
  </si>
  <si>
    <t xml:space="preserve">En mayo de 2009, las reservas internacionales disminuyeron en USD 547,9 millones, lo que significó que el saldo en este mes registrara un valor de USD 2.594,4 millones (mientras que en abril de 2009 fue USD 3.142,3 millones). 
Los principales ingresos en este mes fueron: 
• Recaudación principales impuestos USD 565,1 millones (a la renta global USD 245 millones, IVA USD 243,7 millones, arancelarios USD 54,1 millones, ICE USD 22,3 millones); 
• Exportaciones de petróleo y derivados USD 161,4 millones;
• Exportaciones privadas USD 86,7 millones (ALADI);
• Desembolsos de deuda externa USD 41,8 millones;
• Depósitos gobiernos locales USD 20,6 millones, entre otros.
Estos ingresos se compensaron por los siguientes egresos: 
• Desacumulación neta depósitos Gobierno Central  USD 1021,9 millones;
• Pagos por importaciones sector público USD 147,2 millones;
• Retiro de depósitos empresas públicas no financieras USD 71,3 millones;
• Retiro de depósitos sistema financiero USD 64,5 millones; 
• Retiro de depósitos del IESS USD 46,8 millones; 
• Servicio de la deuda externa e interna por USD 41 millones (amortización e intereses de la deuda externa e interna por USD 39,3 millones y USD 1,7 millones, respectivamente);
• Otros servicios y transferencias por USD 29,5 millones; entre otros.
</t>
  </si>
  <si>
    <t xml:space="preserve">En abril de 2009, las reservas internacionales disminuyeron en USD 101,8 millones, lo que significó que el saldo en este mes registrara un valor de USD 3.142,3 millones (mientras que en marzo de 2009 fue USD 3.244,1 millones). 
Los principales ingresos en este mes fueron: 
• Recaudación principales impuestos USD 926,3 millones (a la renta global USD 594 millones, IVA USD 256,7 millones, arancelarios USD 49,8 millones, ICE USD 25,8 millones); 
• Exportaciones de petróleo y derivados USD 268 millones;
• Depósitos Sistema Financiero USD 88,1 millones;
• Exportaciones privadas USD 46,7 millones (ALADI);
• Desembolsos de deuda externa USD 45,8 millones, entre otros.
Estos ingresos se compensaron por los siguientes egresos: 
• Desacumulación neta depósitos Gobierno Central  USD 1026,1 millones;
• Servicio de la deuda externa e interna por USD 146,6 millones (amortización e intereses de la deuda externa e interna por USD 100,3 millones y USD 46,3 millones, respectivamente);
• Pagos por importaciones sector público USD 143,4 millones;
• Retiro de depósitos gobiernos locales USD 54,2 millones; 
• Retiro de depósitos empresas públicas no financieras USD 49,3 millones;
• Otros servicios y transferencias por USD 39,4 millones; 
• Retiro de depósitos del IESS USD 18,9 millones; entre otros.
</t>
  </si>
  <si>
    <t xml:space="preserve">En marzo de 2009, las reservas internacionales disminuyeron en USD 752,4 millones, lo que significó que el saldo en este mes registrara un valor de USD 3.244,1 millones (mientras que en febrero de 2009 fue USD 3.996,5 millones). 
Los principales ingresos en este mes fueron: 
• Recaudación principales impuestos USD 549,3 millones (IVA USD 306,7 millones, a la renta global USD 164 millones, arancelarios USD 53,3 millones, ICE USD 25,3 millones); 
• Exportaciones de petróleo y derivados USD 143,6 millones;
• Exportaciones privadas USD 43,2 millones (ALADI);
• Desembolsos de deuda externa USD 8,9 millones, entre otros.
Estos ingresos se compensaron por los siguientes egresos: 
• Desacumulación neta depósitos Gobierno Central  USD 830,2 millones;
• Retiro de depósitos sistema financiero USD 299,2 millones;
• Pagos por importaciones sector público USD 121,1 millones;
• Retiro de depósitos del IESS USD 81,3 millones;
• Retiro de depósitos gobiernos locales USD 63,6 millones;
• Servicio de la deuda externa e interna por USD 51,9 millones (amortización e intereses de la deuda externa e interna por USD 51,6 millones y USD 0,3 millones, respectivamente);
• Otros servicios y transferencias por USD 26,5 millones; 
• Retiro de depósitos empresas públicas no financieras USD 22,8 millones; entre otros.
</t>
  </si>
  <si>
    <t xml:space="preserve">En febrero de 2009, las reservas internacionales disminuyeron en USD 275,1 millones, lo que significó que el saldo en este mes registrara un valor de USD 3.996,5 millones (mientras que en enero de 2009 fue USD 4.271,6 millones).
Los principales ingresos en este mes fueron: 
• Emisión deuda interna USD 550,0 millones
• Recaudación principales impuestos USD 440 millones (IVA USD 252,7 millones, a la renta global USD 110,3 millones, arancelarios USD 55,2 millones, ICE USD 21,8 millones); 
• Exportaciones de petróleo y derivados USD 121,5 millones;
• Depósitos del sistema financiero USD 92,2 millones;
• Depósitos empresas públicas no financieras USD 26,1 millones;
• Exportaciones privadas USD 23,8 millones (ALADI);
• Desembolsos de deuda externa USD 17,7 millones, entre otros.
Estos ingresos se compensaron por los siguientes egresos: 
• Desacumulación neta depósitos Gobierno Central  USD 840,6 millones;
• Retiro de depósitos del IESS USD 504,3 millones;
• Servicio de la deuda externa e interna por USD 85,7 millones (amortización e intereses de la deuda externa e interna por USD 52 millones y USD 33,8 millones, respectivamente);
• Pagos por importaciones sector público USD 66,1 millones;
• Retiro de depósitos de gobiernos locales USD 47,3 millones;
• Otros servicios y transferencias por USD 1,2 millones; entre otros.
</t>
  </si>
  <si>
    <t xml:space="preserve">En enero de 2009, las reservas internacionales disminuyeron en USD 201,5 millones, lo que significó que el saldo en este mes registrara un valor de USD 4.271,6 millones (mientras que en diciembre de 2008 fue USD 4.473,1 millones).
Los principales ingresos en este mes fueron: 
• Recaudación principales impuestos USD 541,7 millones (IVA USD 301,9 millones, a la renta global USD 144,8 millones, arancelarios USD 55,8 millones, ICE USD 39,2 millones); 
• Exportaciones de petróleo y derivados USD 163,2 millones;
• Depósitos del IESS USD 147,3 millones;
• Exportaciones privadas USD 25,7 millones (ALADI); entre otros. 
Estos ingresos se compensaron por los siguientes egresos: 
• Retiro de depósitos del sistema financiero USD 479,3 millones;
• Desacumulación neta depósitos Gobierno Central  USD 257,2 millones;
• Pagos por importaciones sector público USD 121,3 millones;
• Servicio de la deuda externa e interna por USD 103,1 millones (amortización e intereses de la deuda externa e interna por USD 71,9 millones y USD 31,1 millones, respectivamente);
• Retiro de depósitos de gobiernos locales USD 72 millones;
• Retiro de depósitos empresas públicas no financieras USD 24,5 millones;
• Otros servicios y transferencias por USD 21,4 millones; entre otros.
</t>
  </si>
  <si>
    <t xml:space="preserve">En diciembre de 2008, las reservas internacionales disminuyeron en USD 1.538,7 millones, lo que significó que el saldo en este mes registrara un valor de USD 4.472,8 millones (mientras que en noviembre de 2008 fue USD 6.011,5 millones).
Los principales ingresos en este mes fueron: 
 Emisión deuda interna USD 700,0 millones;
 Recaudación principales impuestos USD 638,4 millones (a la renta global USD 142,1 millones, IVA USD 378,2 millones, arancelarios USD 87,8 millones, ICE USD 30,3 millones); 
 Exportaciones de petróleo y derivados USD 150,7 millones;
 Depósitos del sistema financiero USD 247,5 millones;
 Exportaciones privadas USD 25,5 millones (ALADI);
 Desembolsos de deuda externa USD 75,7 millones; entre otros. 
Estos ingresos se compensaron por los siguientes egresos: 
 Desacumulación neta depósitos Gobierno Central  USD 2.148,1 millones;
 Retiro de depósitos del IESS USD 772,9 millones;
 Pagos por importaciones sector público USD 131,5 millones;
 Retiro de depósitos empresas públicas no financieras USD 73,1 millones;
 Servicio de la deuda externa e interna por USD 164,3 millones (amortización e intereses de la deuda externa e interna por USD 127,7 millones y USD 36,6 millones, respectivamente);
 Otros servicios y transferencias por USD 52,7 millones;
 Retiro de depósitos gobiernos locales USD 35,6 millones; entre otros.
</t>
  </si>
  <si>
    <t xml:space="preserve">En noviembre de 2008, las reservas internacionales disminuyeron en USD 262,1 millones, lo que significó que el saldo en este mes registrara un valor de USD 6.011,5 millones (mientras que en octubre de 2008 fue USD 6.273,6 millones).
Los principales ingresos en este mes fueron: 
 Recaudación principales impuestos USD 474,0 millones (a la renta global USD 113,5 millones, IVA USD 266,4 millones, arancelarios USD 69,3 millones, ICE USD 24,8 millones); 
 Exportaciones de petróleo y derivados USD 255,6 millones;
 Depósitos del sistema financiero USD 176,4 millones;
 Depósitos empresas públicas no financieras USD 73,4 millones;
 Exportaciones privadas USD 46,2 millones (ALADI);
 Desembolsos de deuda externa USD 36,2 millones; entre otros. 
Estos ingresos se compensaron por los siguientes egresos: 
 Desacumulación neta depósitos Gobierno Central  USD 981,1 millones;
 Pagos por importaciones sector público USD 141,9 millones;
 Retiro de depósitos IESS USD 76,6 millones;
 Servicio de la deuda externa e interna por USD 37,8 millones (amortización e intereses de la deuda externa e interna por USD 34,1 millones y USD 3,7 millones, respectivamente);
 Otros servicios y transferencias por USD 65,3 millones;
 Retiro de depósitos gobiernos locales USD 21,0 millones; entre otros.
</t>
  </si>
  <si>
    <t xml:space="preserve">En octubre de 2008, las reservas internacionales disminuyeron en USD 237,9 millones, lo que significó que el saldo en este mes registrara un valor de USD 6.273,6 millones (mientras que en septiembre de 2008 fue USD 6.511,4 millones).
Los principales ingresos en este mes fueron: 
 Recaudación principales impuestos USD 719,1 millones (a la renta global USD 272,5 millones, IVA USD 339,8 millones, arancelarios USD 67,8 millones, ICE USD 39,0 millones); 
 Exportaciones de petróleo y derivados USD 445,1 millones;
 Depósitos del sistema financiero USD 180,8 millones;
 Depósitos empresas públicas no financieras USD 91,7 millones;
 Exportaciones privadas USD 63,6 millones (ALADI);
 Desembolsos de deuda externa USD 11,8 millones; entre otros. 
Estos ingresos se compensaron por los siguientes egresos: 
 Desacumulación neta depósitos Gobierno Central  USD 1.165,3 millones;
 Pagos por importaciones sector público USD 248,8 millones;
 Retiro de depósitos IESS USD 56,6 millones;
 Vencimiento títulos TBC USD 50,0 millones; 
 Servicio de la deuda externa e interna por USD 148,9 millones (amortización e intereses de la deuda externa e interna por USD 102,6 millones y USD 46,3 millones, respectivamente);
 Otros servicios y transferencias por USD 56,3 millones;
 Retiro de depósitos gobiernos locales USD 25,0 millones; entre otros.
</t>
  </si>
  <si>
    <t xml:space="preserve">En septiembre de 2008, las reservas internacionales aumentaron en USD 139,1 millones, lo que significó que el saldo en este mes registrara un valor de USD 6.511,4 millones (mientras que en agosto de 2008 fue USD 6.372,3 millones).
Los principales ingresos en este mes fueron: 
 Recaudación principales impuestos por USD 672,4 millones (a la renta global USD 245.8 millones, IVA USD 330.8 millones, arancelarios USD 71,1 millones, ICE USD 24,8 millones); 
 Exportaciones de petróleo y derivados USD 375,3 millones;
 Depósitos del IESS USD 102,3 millones;
 Exportaciones privadas por USD 59,5 millones (ALADI);
 Desembolsos de deuda externa por USD 26,5 millones; entre otros. 
Estos ingresos se compensaron por los siguientes egresos: 
 Desacumulación neta depósitos Gobierno Central  USD 576,2 millones;
 Pagos por importaciones sector público USD 200,1 millones;
 Retiro de depósitos sistema financiero USD 110,1 millones; 
 Retiro de depósitos empresas públicas no financieras por USD 85,0 millones;
 Servicio de la deuda externa e interna por USD 54,1 millones (amortización e intereses de la deuda externa e interna por USD 52,1 millones y USD 2 millones, respectivamente);
 Otros servicios y transferencias por USD 39,0 millones;
 Retiro de depósitos gobiernos locales USD 32,6 millones; entre otros.
</t>
  </si>
  <si>
    <t xml:space="preserve">En agosto de 2008, las reservas internacionales aumentaron en USD 210,9 millones, lo que significó que el saldo en este mes registrara un valor de USD 6.372,3 millones (mientras que en julio de 2008 fue USD 6.161,4 millones).
Los principales ingresos en este mes fueron: 
 Exportaciones de petróleo y derivados USD 770,4 millones;
 Recaudación principales impuestos por USD 504,3 millones (a la renta global USD 131,1 millones, IVA USD 278,1 millones, arancelarios USD 68,3 millones, ICE USD 26,9 millones); 
 Depósitos del IESS USD 128,2 millones;
 Exportaciones privadas por USD 60,2 millones (ALADI);
 Emisión títulos TBC por USD 24,1 millones;
 Depósitos gobiernos locales USD 20,5 millones;
 Desembolsos de deuda externa por USD 17,0 millones; entre otros. 
Estos ingresos se compensaron por los siguientes egresos: 
 Desacumulación neta depósitos Gobierno Central  USD 852,6 millones;
 Servicio de la deuda externa e interna por USD 229,1 millones (amortización e intereses de la deuda externa e interna por USD 193,4 millones y USD 35,7 millones, respectivamente);
 Retiro de depósitos empresas públicas no financieras por USD 106,7 millones;
 Pagos por importaciones sector público USD 92,8 millones;
 Otros servicios y transferencias por USD 22,3 millones;
 Retiro de depósitos sistema financiero USD 10,0 millones; entre otros.
</t>
  </si>
  <si>
    <t xml:space="preserve">En julio de 2008, las reservas internacionales aumentaron en USD 58,3 millones, lo que significó que el saldo en este mes registrara un valor de USD 6.161,4 millones (mientras que en junio de 2008 fue USD 6.103,1 millones).
Los principales ingresos en este mes fueron: 
 Exportaciones de petróleo y derivados USD 540,4 millones;
 Recaudación principales impuestos por USD 618,7 millones (a la renta global USD 244,6 millones, IVA USD 283,2 millones, arancelarios USD 72,5 millones, ICE USD 18,4 millones); 
 Depósitos de empresas públicas no financieras por USD 55,7 millones;
 Depósitos del IESS USD 93,1 millones;
 Depósitos sistema financiero USD 30,0 millones;
 Exportaciones privadas por USD 40,6 millones (ALADI);
 Desembolsos de deuda externa por USD 46,7 millones; 
 Emisión títulos TBC por USD 8,2 millones;
 Emisión deuda interna por USD 3,5 millones, entre otros.
Estos ingresos se compensaron por los siguientes egresos: 
 Desacumulación neta depósitos Gobierno Central  USD 1.012,6 millones;
 Servicio de la deuda externa e interna por USD 96,9 millones (amortización e intereses de la deuda externa e interna por USD 29,6 millones y USD 67,3 millones, respectivamente);
 Pagos por importaciones sector público USD 193,2 millones;
 Otros servicios y transferencias por USD 46,8 millones
 Retiro de depósitos de gobierno locales por USD 29,9 millones, entre otros.
</t>
  </si>
  <si>
    <t xml:space="preserve">En junio de 2008, las reservas internacionales aumentaron en USD 228.4 millones, lo que significó que el saldo en este mes registrara un valor de USD 6.103,1 millones (mientras que en mayo de 2008 fue USD 5.874.7 millones).
Los principales ingresos en este mes fueron: 
 Exportaciones de petróleo y derivados USD 632 millones;
 Recaudación principales impuestos por USD 472 millones (a la renta global USD 116 millones, IVA USD 268 millones, arancelarios USD 67 millones, ICE USD 21 millones) 
 Depósitos de empresas públicas no financieras por USD 35 millones;
 Depósitos del IESS USD 956 millones;
 Exportaciones privadas por USD 27 millones (ALADI);
 Desembolsos de deuda externa por USD 12 millones, entre otros.
Estos ingresos se compensaron por los siguientes egresos: 
 Desacumulación neta depósitos Gobierno Central  USD 1.519 millones;
 Servicio de la deuda externa e interna por USD 173 millones (amortización e intereses de la deuda externa e interna por USD 143 millones y USD 30 millones, respectivamente);
 Pagos por importaciones sector público USD 112 millones;
 Recompra títulos BCE por USD 32 millones;
 Retiro depósitos del sistema financiero por USD 31 millones
 Depósitos de gobiernos locales por USD 16 millones;
 Otros servicios y transferencias por USD 23 millones, entre otros.
</t>
  </si>
  <si>
    <t xml:space="preserve">En mayo de 2008, las reservas internacionales aumentaron en USD 275.6 millones, lo que significó que el saldo en este mes registrara un valor de USD 5.874.7 millones (mientras que en abril de 2008 fue de USD 5.599,1 millones).
Los principales ingresos en este mes fueron: 
 Exportaciones de petróleo y derivados USD 570 millones;
 Recaudación principales impuestos por USD 558 millones (a la renta global USD 198.8 millones, IVA USD 252.7 millones, arancelarios USD 71.6 millones, ICE USD 35 millones) 
 Depósitos de empresas públicas no financieras por USD 95 millones;
 Depósitos sistema financiero por USD 54 millones;
 Depósitos del IESS USD 53 millones;
 Depósitos de gobiernos locales por USD 10 millones;
 Exportaciones privadas por USD 25 millones (ALADI);
 Desembolsos de deuda externa por USD 25 millones;
 Emisión de deuda interna por USD 1 millón, entre otros.
Estos ingresos se compensaron por los siguientes egresos: 
 Desacumulación neta depósitos Gobierno Central  USD 743 millones;
 Servicio de la deuda externa e interna por USD 221 millones (amortización e intereses de la deuda externa e interna por USD 218 millones y USD 3 millones, respectivamente);
 Pagos por importaciones USD 123 millones;
 Otros servicios y transferencias por USD 28 millones, entre otros.
</t>
  </si>
  <si>
    <t xml:space="preserve">En abril de 2008, las reservas internacionales aumentaron en USD 1.455,6 millones, lo que significó que el saldo en este mes registrara un valor de USD 5599.1 millones (mientras que en marzo de 2008 fue de USD 4.143,5 millones).
Los principales ingresos en este mes fueron: 
 Exportaciones de petróleo y derivados USD 380 millones;
 Recaudación de impuestos por USD 862 millones (a la renta global USD 464 millones, por IVA USD 276 millones, arancelarios USD 72 millones, entre otros) 
 Depósitos netos del gobierno central y entidades oficiales USD 1475 millones;
 Depósitos de gobiernos locales por USD 107 millones;
 Exportaciones privadas por USD 20 millones (ALADI);
 Depósitos sistema financiero por USD 36 millones;
 Desembolsos de deuda externa por USD 13 millones;
 Emisión de deuda interna por USD 18 millones;
 Otros servicios y transferencias por USD 1 millón, entre otros.
Estos ingresos se compensaron por los siguientes egresos: 
 Pago de gasto corriente USD 931 millones;
 Servicio de la deuda externa e interna por USD 179 millones (amortización e intereses de la deuda externa e interna por USD 129 millones y USD 50 millones, respectivamente);
 Pagos por importaciones USD 180 millones;
 Disminución de depósitos de empresas públicas no financieras por USD 125 millones;
 Reducción de depósitos del IESS USD 1 millón;
 Otros servicios y transferencias por USD 40 millones, entre otros.
</t>
  </si>
  <si>
    <t xml:space="preserve">En marzo de 2008, las reservas internacionales aumentaron en USD 154 millones, lo que significó que el saldo en este mes registrara un valor de USD 4.143 millones (mientras que en febrero de 2008 fue de USD 3.989 millones).
Los principales ingresos en este mes fueron: 
 Exportaciones de petróleo y derivados USD 553 millones;
 Recaudación de impuestos por USD 494 millones (a la renta global USD 145 millones, por IVA USD 242 millones, arancelarios USD 57 millones, entre otros) 
 Depósitos netos del goobierno central USD 143 millones;
 Depósitos del IESS por USD 109 millones;
 Exportaciones privadas por USD 32 millones (ALADI);
 Depósitos de empresas públicas no finan. USD 15 millones;
 Desembolsos de deuda externa por USD 13 millones;
 Emisión de deuda interna por USD 1 millón;
 Otros servicios y transferencias por USD 21 millones, entre otros.
Estos ingresos se compensaron por los siguientes egresos: 
 Pago de gasto corriente USD 752 millones;
 Servicio de la deuda externa e interna por USD 159 millones (amortización e intereses de la deuda externa e interna por USD 151 millones y USD 8 millones, respectivamente);
 Pagos por importaciones USD 152 millones;
 Disminución de depósitos del sistema financiero por USD 43 millones;
 Reducción de depósitos de gobiernos locales USD 77 millones;
 Otros servicios y transferencias por USD 43 millones, entre otros.
</t>
  </si>
  <si>
    <t xml:space="preserve">En febrero de 2008, las reservas internacionales aumentaron en USD 478 millones, lo que significó que el saldo en este mes registrara un valor de USD 3.989 millones (mientras que en enero de 2008 fue de USD 3.511 millones).
Los principales ingresos en este mes fueron: 
 Exportaciones de petróleo y derivados USD 695 millones;
 Recaudación de impuestos por USD 437 millones (a la renta global USD 103 millones, por IVA USD 243 millones, arancelarios USD 49 millones, entre otros) 
 Depósitos de empresas públicas no finan. USD 175 millones;
 Depósitos netos del goobierno central USD 133 millones;
 Depósitos del IESS por USD 113 millones;
 Depósitos de gobiernos locales USD 101 millones;
 Exportaciones privadas por USD 32 millones (ALADI);
 Desembolsos de deuda externa por USD 14 millones;
 Emisión de deuda interna por USD 1 millón;
 Otros servicios y transferencias por USD 2 millones, entre otros.
Estos ingresos se compensaron por los siguientes egresos: 
 Pago de gasto corriente USD 857 millones;
 Servicio de la deuda externa e interna por USD 237 millones (amortización e intereses de la deuda externa e interna por USD 197 millones y USD 40 millones, respectivamente);
 Pagos por importaciones USD 63 millones;
 Disminución de depósitos del sistema financiero por USD 53 millones;
 Otros servicios y transferencias por USD 15 millones, entre otros.
</t>
  </si>
  <si>
    <t xml:space="preserve">La desacumulación de las reservas internacionales en USD 10 millones significó que el saldo en este mes registrara un valor de USD 3.511 millones (mientras que en diciembre de 2007 fue de USD 3.521 millones)  Los principales ingresos en este mes fueron: 
 Recaudación de impuestos por USD 638 millones (a la renta global USD 166 millones, por IVA USD 328 millones, arancelarios USD 70 millones, entre otros) 
 Exportaciones de petróleo y derivados USD 482 millones;
 Aumento de depósitos del sistema financiero por USD 73 millones;
 Depósitos de gobiernos locales USD 69 millones;
 Exportaciones privadas por USD 52 millones (ALADI);
 Desembolsos de deuda externa por USD 48 millones;
 Depósitos del IESS por USD 35 millones;
 Depósitos de empresas públicas no finan. USD 10 millones;
 Emisión de deuda interna por USD 4 millones;
 Otros servicios y transferencias por USD 2 millones, entre otros.
Estos ingresos se compensaron por los siguientes egresos: 
 Pago de gasto corriente USD 712 millones;
 Servicio de la deuda externa e interna por USD 339 millones (amortización e intereses de la deuda externa e interna por USD 269 millones y USD 70 millones, respectivamente);
 Desacumulación de depósitos de entidades públicas por USD 199 millones;
 Pagos por importaciones USD 147 millones;
 Otros servicios y transferencias por USD 26 millones, entre otros.
</t>
  </si>
  <si>
    <t xml:space="preserve">En diciembre de 2007, las reservas internacionales disminuyen en USD 97 millones, lo que significó que el saldo en este mes registrara un valor de USD 3.521 millones (mientras que en noviembre de 2007 fue de USD 3.618 millones).
Los principales ingresos en este mes fueron: 
 Recaudación de impuestos por USD 536 millones (a la renta global USD 127 millones, por IVA USD 275 millones, arancelarios USD 82 millones, entre otros); 
 Exportaciones de petróleo y derivados por USD 416 millones;
 Emisión de deuda interna por USD 292 millones;
 Aumento de depósitos del sistema financiero por USD 163 millones;
 Emisión de títulos TBC por USD 1 millón;
 Exportaciones privadas por USD 34 millones (ALADI);
 Desembolsos de deuda externa por USD 489 millones;
 Otros servicios y transferencias por USD 41 millones, entre otros.
Estos ingresos se compensaron por los siguientes egresos: 
 Pago de gasto corriente USD 671 millones;
 Servicio de la deuda externa e interna por USD 553 millones (amortización e intereses de la deuda externa e interna por USD 346 millones y USD 207 millones, respectivamente);
 Desacumulación de depósitos de entidades públicas por USD 282 millones;
 Depósitos del IESS USD 334 millones; 
 Pagos por importaciones USD 144 millones;
 Retiro de depósitos de gobiernos locales USD 26 millones;
 Retiro de depósitos de gobiernos locales USD 23 millones;
 Otros servicios y transferencias por USD 36 millones, entre otros.
</t>
  </si>
  <si>
    <t xml:space="preserve">En noviembre de 2007, las reservas internacionales disminuyen en USD 73 millones, lo que significó que el saldo en este mes registrara un valor de USD 3.618 millones (mientras que en septiembre de 2007 fue de USD 3.691 millones)
Los principales ingresos en este mes fueron: 
 Recaudación de impuestos por USD 481 millones (a la renta global USD 99 millones, por IVA USD 265 millones, arancelarios USD 68 millones, entre otros); 
 Exportaciones de petróleo y derivados por USD 373 millones;
 Emisión de deuda interna por USD 206 millones;
 Aumento de depósitos del sistema financiero por USD 53 millones;
 Emisión de títulos TBC por USD 50 millones;
 Exportaciones privadas por USD 44 millones (ALADI);
 Desembolsos de deuda externa por USD 40 millones;
 Otros servicios y transferencias por USD 40 millones
 Incremento de depósitos de gobiernos locales USD 16 millones;
 Aumento de depósitos de empresas públicas no financieras USD 11 millones, entre otros.
Estos ingresos se compensaron por los siguientes egresos: 
 Pago de gasto corriente USD 427 millones;
 Servicio de la deuda externa e interna por USD 335 millones (amortización e intereses de la deuda externa e interna por USD 159 millones y USD 176 millones, respectivamente);
 Desacumulación de depósitos de entidades públicas por USD 257 millones;
 Depósitos del IESS USD 252 millones; 
 Pagos por importaciones USD 95 millones;
 Otros servicios y transferencias por USD 23 millones, entre otros.
</t>
  </si>
  <si>
    <t xml:space="preserve">En enero de 2007 la reserva internacional de libre disponibilidad aumentó en USD 101 millones, al pasar de un saldo de USD 2.023 millones en diciembre de 2006 a USD 2.124 millones en enero de 2007. Los principales ingresos en este mes constituyeron la recaudación de impuestos por USD 502 millones (por IVA USD 277 millones, a la renta global USD 112 millones, arancelarios USD 55 millones, entre otros), las exportaciones de petróleo y derivados por USD 449 millones, emisión de deuda interna por USD 107 millones, acumulación de depósitos del IESS por USD 55 millones, de empresas públicas no financieras por USD 25 millones y de gobiernos locales y provinciales por USD 16 millones, entre otros. Estos ingresos se compensaron por los siguientes egresos: pago de gasto corriente USD 318 millones, transferencia de recursos al Fondo de Ahorros y Contigencias por USD 231 millones, el servicio de la deuda externa e interna por USD 246 millones (amortización deuda interna y externa por USD 186 millones y USD 34 millones, respectivamente e intereses USD 26 millones), pagos por importaciones USD 144 millones, disminución de depósitos del sistema financiero por USD 81 millones y otros servicios y transferencias por USD 31 millones, entre otros.
</t>
  </si>
  <si>
    <t xml:space="preserve">En febrero de 2007 la reserva internacional de libre disponibilidad aumentó en USD 344 millones, al pasar de un saldo de USD 2.124 millones en enero de 2007 a USD 2.468 millones en febrero de 2007. Los principales ingresos en este mes constituyeron las exportaciones de petróleo y derivados por USD 371 millones,  la recaudación de impuestos por USD 355 millones (por IVA USD 203 millones, a la renta global USD 61 millones, arancelarios USD 43 millones, entre otros), desembolsos de deuda externa por USD 327 millones (CAF), emisión de deuda interna por USD 110 millones, acumulación de depósitos de empresas públicas no financieras por USD 92 millones, incremento de depósitos del IESS por USD 61, exportaciones privadas por USD 43 millones (ALADI) y aumento de depósitos de gobiernos locales y provinciales por USD 10 millones. Estos ingresos se compensaron por los siguientes egresos: pago de gasto corriente USD 359 millones, retiro de depósitos de entidades públicas USD 244 millones, el servicio de la deuda externa e interna por USD 266 millones (amortización e intereses de la deuda externa e interna por USD 202 millones y USD 64 millones, respectivamente), pagos por importaciones USD 118 millones, disminución de depósitos del sistema financiero en el BCE por USD 14 millones y otros servicios y transferencias por USD 23 millones.
</t>
  </si>
  <si>
    <t xml:space="preserve">En marzo de 2007 la reserva internacional de libre disponibilidad disminuyó en USD 286 millones, al pasar de un saldo de USD 2.468 millones en febrero a USD 2.182 millones en marzo de 2007. Los principales egresos en este mes fueron: desacumulación de depósitos de entidades del gobierno central USD 342 millones, pago de gasto corriente USD 335 millones, pagos por importaciones USD 189 millones, el servicio de la deuda externa e interna por USD 268 millones (amortización e intereses de la deuda externa e interna por USD 126 millones y USD 142 millones, respectivamente), retiro de depósitos de entidades públicas USD 27 millones, y otros servicios y transferencias por USD 34 millones. Estos egresos se compensaron por los siguientes ingresos: la recaudación de impuestos por USD 426 millones (por IVA USD 231 millones, a la renta global USD 88 millones, arancelarios USD 56 millones, entre otros), exportaciones de petróleo y derivados por USD 226 millones,  desembolsos de deuda externa por USD 19 millones, emisión de deuda interna por USD 41 millones, aumento  de depósitos del sistema financiero en el BCE por USD 73 millones, incremento de depósitos del IESS por USD 95 millones, exportaciones privadas por USD 25 millones (ALADI). </t>
  </si>
  <si>
    <t xml:space="preserve">En abril de 2007 la reserva internacional de libre disponibilidad aumentó en USD 619 millones, al pasar de un saldo de USD 2.182 millones en marzo a USD 2.801 millones en abril de 2007. Los principales ingresos en este mes fueron: la recaudación de impuestos por USD 755 millones (a la renta global USD 401 millones, por IVA USD 224 millones, arancelarios USD 57 millones, entre otros), exportaciones de petróleo y derivados por USD 337 millones, incremento de depósitos del IESS por USD 200 millones, acumulación de depósitos del gobierno central por USD 155 millones, emisión de deuda interna por USD 92 millones, incremento de depósitos de empresas públicas no financieras USD 52 millones, exportaciones privadas por USD 23 millones (ALADI), depósitos de gobiernos locales USD 10 millones, desembolsos de deuda externa por USD 7 millones, entre otros.  Estos ingresos se compensaron por los siguientes egresos:  el servicio de la deuda externa e interna por USD 466 millones (amortización e intereses de la deuda externa e interna por USD 150 millones y USD 316 millones, respectivamente), pago de gasto corriente USD 369 millones, pagos por importaciones USD 66 millones, disminución de depósitos del sistema financiero en el BCE por USD 76 millones y otros servicios y transferencias por USD 34 millones. </t>
  </si>
  <si>
    <t xml:space="preserve">En mayo de 2007 la reserva internacional de libre disponibilidad aumentó en USD 275 millones, al pasar de un saldo de USD 2.801 millones en abril a USD 3.076 millones en mayo de 2007. Los principales ingresos en este mes fueron: la recaudación de impuestos por USD 525 millones (a la renta global USD 168 millones, por IVA USD 255 millones, arancelarios USD 57 millones, entre otros), exportaciones de petróleo y derivados por USD 458 millones, desembolsos de deuda externa por USD 112 millones,  emisión de deuda interna por USD 106 millones, incremento de depósitos del IESS por USD 97 millones,  incremento de depósitos de empresas públicas no financieras USD 50 millones, depósitos de gobiernos locales USD 50 millones, otros servicios y transferencias por USD 30 millones, aumento de depósitos del sistema financiero en el BCE por USD 30 millones, exportaciones privadas por USD 19 millones (ALADI), entre otros.  Estos ingresos se compensaron por los siguientes egresos: pago de gasto corriente USD 370 millones, servicio de la deuda externa e interna por USD 361 millones (amortización e intereses de la deuda externa e interna por USD 100 millones y USD 261 millones, respectivamente), desacumulación de depósitos del gobierno central por USD 230 millones, pagos por importaciones USD 194 millones, otros servicios y transferencias por USD 41 millones, entre otros. </t>
  </si>
  <si>
    <t xml:space="preserve">En junio de 2007 la reserva internacional de libre disponibilidad aumentó en USD 128 millones, al pasar de un saldo de USD 3.076 millones en mayo a USD 3.204 millones en junio. Los principales ingresos en este mes fueron: la recaudación de impuestos por USD 391 millones (a la renta global USD 75.2 millones, por IVA USD 216.8 millones, arancelarios USD 51.5 millones, entre otros), exportaciones de petróleo y derivados por USD 285 millones, desembolsos de deuda externa por USD 105 millones, emisión de deuda interna por USD 141 millones, incremento de depósitos del IESS por USD 77 millones,  incremento de depósitos de gobiernos locales USD 28 millones, otros servicios y transferencias por USD 21 millones, aumento de depósitos del sistema financiero en el BCE por USD 37 millones, exportaciones privadas por USD 42 millones (ALADI), entre otros.  Estos ingresos se compensaron por los siguientes egresos: pago de gasto corriente USD 391 millones, servicio de la deuda externa e interna por USD 280 millones (amortización e intereses de la deuda externa e interna por USD 148 millones y USD 132 millones, respectivamente), desacumulación de depósitos del gobierno central y de entidades públicas por USD 162 millones, pagos por importaciones USD 130 millones, otros servicios y transferencias por USD 36 millones, entre otros. </t>
  </si>
  <si>
    <t xml:space="preserve">En julio de 2007 la reserva internacional de libre disponibilidad aumentó en USD 236 millones, al pasar de un saldo de USD 3.204 millones en junio a USD 3.440 en julio. Los principales ingresos en este mes fueron: la recaudación de impuestos por USD 530 millones (a la renta global USD 169 millones, por IVA USD 254 millones, arancelarios USD 61 millones, entre otros), exportaciones de petróleo y derivados por USD 422 millones, desembolsos de deuda externa por USD 31 millones, emisión de deuda interna por USD 236 millones, incremento de depósitos del IESS por USD 69 millones, incremento de depósitos de gobiernos locales USD 8 millones, otros servicios y transferencias por USD 40 millones, exportaciones privadas por USD 29 millones (ALADI), entre otros.  Estos ingresos se compensaron por los siguientes egresos: pago de gasto corriente USD 478 millones, servicio de la deuda externa e interna por USD 209 millones (amortización e intereses de la deuda externa e interna por USD 51 millones y USD 158 millones, respectivamente), desacumulación de depósitos de entidades públicas por USD 221 millones,  retiro de depósitos de entidades del sistema financiero USD 22 millones, pagos por importaciones USD 165 millones, otros servicios y transferencias por USD 36 millones, entre otros. </t>
  </si>
  <si>
    <t xml:space="preserve">En agosto de 2007, las reservas internacionales aumentaron en USD 69 millones, lo que significó que el saldo en este mes registrara un valor de USD 3.510 millones (mientras que en julio de 2007 fue de USD 3.441 millones)
Los principales ingresos en este mes fueron: 
 Recaudación de impuestos por USD 501 millones (a la renta global USD 120 millones, por IVA USD 265 millones, arancelarios USD 60 millones, entre otros); 
 Exportaciones de petróleo y derivados por USD 479 millones; 
 Desembolsos de deuda externa por USD 17 millones;
 Emisión de deuda interna por USD 141 millones;
 Incremento de depósitos del sistema financiero por USD 70 millones;
 Incremento de depósitos de entidades del sector público USD 83 millones;
 Otros servicios y transferencias por USD 4 millones;
 Exportaciones privadas por USD 39 millones (ALADI), entre otros. 
Estos ingresos se compensaron por los siguientes egresos: 
 Pago de gasto corriente USD 464 millones;
 Servicio de la deuda externa e interna por USD 283 millones (amortización e intereses de la deuda externa e interna por USD 210 millones y USD 73 millones, respectivamente);
 Desacumulación de depósitos de entidades públicas por USD 191 millones;
 Retiro de depósitos del IESS USD 84 millones;
 Pagos por importaciones USD 207 millones;
 Otros servicios y transferencias por USD 34 millones, entre otros.
En consecuencia, el incremento de la RILD por USD 69 millones, fue el resultado de las transacciones externas, que afectaron su saldo en USD 87 millones, y de las transacciones internas, con un saldo negativo de  USD 18 millones
</t>
  </si>
  <si>
    <t xml:space="preserve">En septiembre de 2007, las reservas internacionales aumentaron en USD 101 millones, lo que significó que el saldo en este mes registrara un valor de USD 3.611 millones (mientras que en agosto de 2007 fue de USD 3.510 millones)
Los principales ingresos en este mes fueron: 
 Recaudación de impuestos por USD 503 millones (a la renta global USD 149 millones, por IVA USD 252 millones, arancelarios USD 58 millones, entre otros); 
 Exportaciones de petróleo y derivados por USD 355 millones;
 Depósitos del IESS USD 177 millones 
 Emisión de deuda interna por USD 74 millones;
 Incremento de depósitos de gobiernos locales USD 69 millones;
 Exportaciones privadas por USD 40 millones (ALADI)
 Desembolsos de deuda externa por USD 37 millones;
 Incremento de depósitos del sistema financiero por USD 7 millones;
 Otros servicios y transferencias por USD 2 millones, entre otros. 
Estos ingresos se compensaron por los siguientes egresos: 
 Pago de gasto corriente USD 472 millones;
 Desacumulación de depósitos de entidades públicas por USD 361 millones;
 Pagos por importaciones USD 159 millones;
 Servicio de la deuda externa e interna por USD 140 millones (amortización e intereses de la deuda externa e interna por USD 93 millones y USD 47millones, respectivamente);
 Otros servicios y transferencias por USD 31 millones, entre otros.
</t>
  </si>
  <si>
    <t xml:space="preserve">En octubre de 2007, las reservas internacionales aumentaron en USD 80 millones, lo que significó que el saldo en este mes registrara un valor de USD 3.691 millones (mientras que en agosto de 2007 fue de USD 3.611 millones)
Los principales ingresos en este mes fueron: 
 Recaudación de impuestos por USD 561 millones (a la renta global USD 167 millones, por IVA USD 281 millones, arancelarios USD 68 millones, entre otros); 
 Exportaciones de petróleo y derivados por USD 483 millones;
 Depósitos del IESS USD 113 millones; 
 Emisión de deuda interna por USD 93 millones;
 Incremento de depósitos de gobiernos locales USD 38 millones;
 Aumento de depósitos de empresas públicas no financieras USD 32 millones;
 Exportaciones privadas por USD 45 millones (ALADI);
 Desembolsos de deuda externa por USD 62 millones, entre otros.
Estos ingresos se compensaron por los siguientes egresos: 
 Pago de gasto corriente USD 520 millones;
 Desacumulación de depósitos de entidades públicas por USD 401 millones;
 Pagos por importaciones USD 113 millones;
 Servicio de la deuda externa e interna por USD 213 millones (amortización e intereses de la deuda externa e interna por USD 111 millones y USD 102 millones, respectivamente);
 Disminución de depósitos del sistema financiero por USD 59 millones
 Otros servicios y transferencias por USD 41 millones, entre otros.
</t>
  </si>
  <si>
    <t xml:space="preserve">En febrero de 2011, las reservas internacionales aumentaron en USD 1,037.4 millones, lo que significó que el saldo en este mes registrara un valor de USD 3,906.9 millones (mientras que en enero de 2011 fue USD 2,869.5 millones). 
Los principales ingresos en este mes fueron: 
• Recaudación principales impuestos USD 579.7 millones (IVA USD 333.1 millones, a la renta global USD 136 millones, arancelarios USD 75.7 millones, ICE USD 34.9 millones); 
• Exportaciones de petróleo y derivados USD 487.5 millones;
• Depósitos Sistema Financiero USD 164.8 millones;
• Desembolsos deuda externa USD 110 millones;
• Depósitos Empresas Públicas no Financieras USD 80.3 millones;
• Depósitos Gobiernos Locales USD 64.7 millones;
• Exportaciones privadas USD 44.7 millones (ALADI), entre otros.
Estos ingresos se compensaron por los siguientes egresos: 
• Pagos por importaciones sector público USD 217.7 millones;
• Servicio de la deuda externa e interna por USD 131.7 millones (amortización e intereses de la deuda externa e interna por USD 114.6 millones y USD 17.1 millones, respectivamente);
• Desacumulación neta depósitos Gobierno Central USD 95.1 millones;
• Otros servicios y transferencias internacionales USD 37 millones; 
• Retiro de fondos de Seguridad Social USD 12.2 millones;
• Emisión monetaria USD 0.5 millones, entre otros.
</t>
  </si>
  <si>
    <t xml:space="preserve">En marzo de 2011, las reservas internacionales aumentaron en USD 40.5 millones, lo que significó que el saldo en este mes registrara un valor de USD 3,947.5 millones (mientras que en febrero de 2011 fue USD 3,906.9 millones). 
Los principales ingresos en este mes fueron: 
• Recaudación principales impuestos USD 846.6 millones (IVA USD 415.5 millones, a la renta global USD 314.1 millones, arancelarios USD 87.2 millones, ICE USD 29.8 millones); 
• Exportaciones de petróleo y derivados USD 570.8 millones;
• Depósitos Sistema Financiero USD 289.6 millones;
• Exportaciones privadas USD 42.1 millones (ALADI);
• Desembolsos deuda externa USD 24.4 millones, entre otros.
Estos ingresos se compensaron por los siguientes egresos: 
• Desacumulación neta depósitos Gobierno Central USD 1,305.5 millones;
• Pagos por importaciones sector público USD 222.8 millones;
• Retiro depósitos Empresas Públicas no Financieras USD 79.5 millones;
• Otros servicios y transferencias internacionales USD 46.9 millones; 
• Servicio de la deuda externa e interna por USD 40.2 millones (amortización e intereses de la deuda externa e interna por USD 39.9 millones y USD 0.3 millones, respectivamente);
• Retiro depósitos Gobiernos Locales USD 26.8 millones;
• Retiro de fondos de Seguridad Social USD 11.2 millones;
• Emisión monetaria USD 0.1 millones, entre otros.
</t>
  </si>
  <si>
    <t xml:space="preserve">En abril de 2011, las reservas internacionales aumentaron en USD 217.4 millones, lo que significó que el saldo en este mes registrara un valor de USD 4,164.8 millones (mientras que en marzo de 2011 fue USD 3,947.5 millones). 
Los principales ingresos en este mes fueron: 
• Recaudación principales impuestos USD 936.4 millones (A la renta global USD 492 millones, IVA USD 336.9 millones, arancelarios USD 79.7 millones, ICE USD 27.8 millones); 
• Exportaciones de petróleo y derivados USD 692.4 millones;
• Depósitos Sistema Financiero USD 127 millones;
• Desembolsos deuda externa USD 63.4 millones; 
• Depósitos Empresas Públicas no Financieras USD 61 millones;
• Exportaciones privadas USD 19.3 millones (ALADI), entre otros.
Estos ingresos se compensaron por los siguientes egresos: 
• Desacumulación neta depósitos Gobierno Central USD 1,144 millones;
• Servicio de la deuda externa e interna por USD 277.9 millones (amortización e intereses de la deuda externa e interna por USD 190.1 millones y USD 87.8 millones, respectivamente);
• Pagos por importaciones sector público USD 165.3 millones;
• Retiro depósitos Gobiernos Locales USD 48.5 millones;
• Otros servicios y transferencias internacionales USD 31.6 millones; 
• Retiro de fondos de Seguridad Social USD 14.9 millones, entre otros.
</t>
  </si>
  <si>
    <t xml:space="preserve">En mayo de 2011, las reservas internacionales disminuyeron en USD 280.5 millones, lo que significó que el saldo en este mes registrara un valor de USD 3,884.3 millones (mientras que en abril de 2011 fue USD 4,164.8 millones). 
Los principales ingresos en este mes fueron: 
• Recaudación principales impuestos USD 891.3 millones (IVA USD 381.8 millones, USD 360.3 millones, arancelarios USD 107.7 millones, ICE USD 41.5 millones); 
• Exportaciones de petróleo y derivados USD 641.8 millones;
• Emisión Deuda Interna USD 85.1 millones:
• Depósitos Gobiernos Locales USD 53 millones;
• Depósitos Fondos de Seguridad Social USD 41.9 millones;
• Desembolsos deuda externa USD 35.8 millones; 
• Exportaciones privadas USD 32.8 millones (ALADI), entre otros.
Estos ingresos se compensaron por los siguientes egresos: 
• Desacumulación neta depósitos Gobierno Central USD 1,344.1 millones;
• Servicio de la deuda externa e interna por USD 225 millones (amortización e intereses de la deuda externa e interna por USD 130.9 millones y USD 94.1 millones, respectivamente);
• Pagos por importaciones sector público USD 235.7 millones;
• Retiro depósitos Sistema Financiero USD 212.5 millones;
• Otros servicios y transferencias internacionales USD 46 millones, entre otros.
</t>
  </si>
  <si>
    <t xml:space="preserve">En junio de 2011, las reservas internacionales disminuyeron en USD 42.9 millones, lo que significó que el saldo en este mes registrara un valor de USD 3,841.5 millones (mientras que en mayo de 2011 fue USD 3,884.3 millones). 
Los principales ingresos en este mes fueron: 
• Exportaciones de petróleo y derivados USD 841.9 millones;
• Recaudación principales impuestos USD 724.1 millones (IVA USD 414.5 millones, a la renta USD 176.8 millones, arancelarios USD 99.6 millones, ICE USD 33.2 millones); 
• Desembolsos deuda externa USD 96.9 millones; 
• Exportaciones privadas USD 62.8 millones (ALADI); 
• Depósitos Sistema Financiero USD 53.1 millones;
• Depósitos Gobiernos Locales USD 35.2 millones;
• Depósitos Fondos de Seguridad Social USD 21.7 millones;
• Emisión Deuda Interna USD 1.2 millones, entre otros.
Estos ingresos se compensaron por los siguientes egresos: 
• Desacumulación neta depósitos Gobierno Central USD 1,377.6 millones;
• Servicio de la deuda externa e interna por USD 272.9 millones (amortización e intereses de la deuda externa e interna por USD 148.2 millones y USD 124.7 millones, respectivamente);
• Pagos por importaciones sector público USD 138.9 millones;
• Otros servicios y transferencias internacionales USD 47.4 millones;
• Retiro depósitos Empresas Públicas no Financieras USD 42.9 millones, entre otros.
</t>
  </si>
  <si>
    <t xml:space="preserve">En julio de 2011, las reservas internacionales aumentaron en USD 139.2 millones, lo que significó que el saldo en este mes registrara un valor de USD 3,980.7 millones (mientras que en junio de 2011 fue USD 3,841.5 millones). 
Los principales ingresos en este mes fueron: 
• Recaudación principales impuestos USD 719.0 millones (IVA USD 380.5 millones, a la renta USD 209.7 millones, arancelarios USD 88.8 millones, ICE USD 40.0 millones); 
• Exportaciones de petróleo y derivados USD 601.7 millones;
• Depósitos Sistema Financiero USD 95.2 millones;
• Emisión Deuda Interna USD 74.8 millones; 
• Exportaciones privadas USD 46.2 millones (ALADI); 
• Desembolsos deuda externa USD 26.8 millones; 
• Depósitos Empresas Públicas no Financieras USD 17.8 millones, entre otros.
Estos ingresos se compensaron por los siguientes egresos: 
• Desacumulación neta depósitos Gobierno Central USD 1,172.2 millones;
• Pagos por importaciones sector público USD 112.0 millones;
• Servicio de la deuda externa e interna por USD 107.4 millones (amortización e intereses de la deuda externa e interna por USD 100.0 millones y USD 7.4 millones, respectivamente);
• Retiro depósitos Seguridad Social USD 29.2 millones;
• Otros servicios y transferencias internacionales USD 20.0 millones;
• Retiro depósitos Gobiernos Locales USD 1.9 millones, entre otros.
</t>
  </si>
  <si>
    <t xml:space="preserve">En agosto de 2011, las reservas internacionales aumentaron en USD 143.9 millones, lo que significó que el saldo en este mes registrara un valor de USD 4,124.6 millones (mientras que en julio de 2011 fue USD 3,980.7 millones). 
Los principales ingresos en este mes fueron: 
• Exportaciones de petróleo y derivados USD 845.3 millones;
• Recaudación principales impuestos USD 807.9 millones (IVA USD 452.0 millones, a la renta USD 212.3 millones, arancelarios USD 109.4 millones, ICE USD 34.2 millones); 
• Desembolsos deuda externa USD 117.9 millones; 
• Depósitos Empresas Públicas no Financieras USD 55.5 millones;
• Exportaciones privadas USD 40.2 millones (ALADI); 
• Emisión Deuda Interna USD 37.4 millones; 
• Depósitos Gobiernos Locales USD 10.0 millones;
• Depósitos Fondos de Seguridad Social USD 10.0 millones;
• Emisión Monetaria Fraccionaria USD 0.3 millones, entre otros.
Estos ingresos se compensaron por los siguientes egresos: 
• Desacumulación neta depósitos Gobierno Central USD 1,298.5 millones;
• Pagos por importaciones sector público USD 274.1 millones;
• Servicio de la deuda externa e interna por USD 146.5 millones (amortización e intereses de la deuda externa e interna por USD 129.2 millones y USD 17.3 millones, respectivamente);
• Otros servicios y transferencias internacionales USD 52.1millones;
• Retiro depósitos Sistema Financiero USD 9.3 millones, entre otros.
</t>
  </si>
  <si>
    <t xml:space="preserve">En septiembre de 2011, las reservas internacionales disminuyeron en USD 489.2 millones, lo que significó que el saldo en este mes registrara un valor de USD 3,635.4 millones (mientras que en agosto de 2011 fue USD 4,124.6 millones). 
Los principales ingresos en este mes fueron: 
• Recaudación principales impuestos USD 783.9 millones (IVA USD 404.3 millones, a la renta USD 246 millones, arancelarios USD 101.5 millones, ICE USD 32 millones); 
• Exportaciones de petróleo y derivados USD 590.6 millones;
• Depósitos Empresas Públicas no Financieras USD 32.1 millones;
• Exportaciones privadas USD 30.5 millones (ALADI); 
• Desembolsos deuda externa USD 7.3 millones; 
• Emisión Deuda Interna USD 8.1 millones; 
• Emisión Monetaria Fraccionaria USD 0.1 millones, entre otros.
Estos ingresos se compensaron por los siguientes egresos: 
• Desacumulación neta depósitos Gobierno Central USD 1,568.5 millones;
• Pagos por importaciones sector público USD 190 millones;
• Otros servicios y transferencias internacionales USD 67 millones;
• Servicio de la deuda externa e interna por USD 40.7 millones (amortización e intereses de la deuda externa e interna por USD 40 millones y USD 1 millón, respectivamente);
• Depósitos Fondos de Seguridad Social USD 40 millones;
• Depósitos Gobiernos Locales USD 31.8 millones;
• Retiro depósitos Sistema Financiero USD 3.8 millones, entre otros.
</t>
  </si>
  <si>
    <t xml:space="preserve">En octubre de 2011, las reservas internacionales aumentaron en USD 913.2 millones, lo que significó que el saldo en este mes registrara un valor de USD 4,548.6 millones (mientras que en septiembre de 2011 fue USD 3,635.4 millones). 
Los principales ingresos en este mes fueron: 
• Desembolsos deuda externa USD 1,415.0 millones; 
• Recaudación principales impuestos USD 762.8 millones (IVA USD 303.0 millones, a la renta USD 253.4 millones, arancelarios USD 171.0 millones, ICE USD 35.4 millones); 
• Exportaciones de petróleo y derivados USD 648.8 millones;
• Emisión Deuda Interna USD 77.1 millones; 
• Exportaciones privadas USD 20.9 millones (ALADI); 
• Emisión Monetaria Fraccionaria USD 0.6 millones, entre otros.
Estos ingresos se compensaron por los siguientes egresos: 
• Otros egresos corrientes y de capital del Gobierno Central USD 1,263.2 millones;
• Servicio de la deuda externa e interna por USD 369.7 millones (amortización e intereses de la deuda externa e interna por USD 159.3 millones y USD 210.4 millones, respectivamente);
• Pagos por importaciones sector público USD 200.3 millones;
• Retiro depósitos Sistema Financiero USD 77.5 millones; entre otros.
• Otros servicios y transferencias internacionales USD 51.9 millones;
• Retiro depósitos Empresas Públicas no Financieras USD 41.7 millones;
• Retiro depósitos Gobiernos Locales USD 4.8 millones;
• Retiro depósitos Fondos de Seguridad Social USD 2.9 millones, entre otros.
</t>
  </si>
  <si>
    <t xml:space="preserve">En noviembre de 2011, las reservas internacionales disminuyeron en USD 454.9 millones, lo que significó que el saldo en este mes registrara un valor de USD 4,093.7 millones (mientras que en octubre de 2011 fue USD 4,548.6 millones). 
Los principales ingresos en este mes fueron: 
• Recaudación principales impuestos USD 772.5 millones (IVA USD 447.9 millones, a la renta USD 188.5 millones, arancelarios USD 105.1 millones, ICE USD 31.0 millones); 
• Exportaciones de petróleo y derivados USD 635.4 millones;
• Depósitos Fondos de Seguridad Social USD 139.1 millones;
• Emisión Deuda Interna USD 120.0 millones; 
• Desembolsos deuda externa USD 57.9 millones; 
• Depósitos Empresas Públicas no Financieras USD 38.0 millones;
• Exportaciones privadas USD 14.0 millones (ALADI), entre otros.
Estos ingresos se compensaron por los siguientes egresos: 
• Desacumulación neta de los depósitos del Gobierno Central USD 1,317.4 millones;
• Servicio de la deuda externa e interna por USD 316.3 millones (amortización e intereses de la deuda externa e interna por USD 143.6 millones y USD 172.7 millones, respectivamente);
• Pagos por importaciones sector público USD 288.6 millones;
• Retiro depósitos Sistema Financiero USD 236.6 millones; 
• Otros servicios y transferencias internacionales USD 60.5 millones;
• Retiro depósitos Gobiernos Locales USD 11.7 millones;
• Emisión monetaria fraccionaria USD 0.6 millones, entre otros.
</t>
  </si>
  <si>
    <t xml:space="preserve">En diciembre de 2011, las reservas internacionales disminuyeron en USD 1,136.1 millones, lo que significó que el saldo en este mes registrara un valor de USD 2,957.6 millones (mientras que en noviembre de 2011 fue USD 4,093.7 millones). 
Los principales ingresos en este mes fueron: 
• Recaudación principales impuestos USD 772.7 millones (IVA USD 425.9 millones, a la renta USD 178.6 millones, arancelarios USD 116.1 millones, ICE USD 52.1 millones); 
• Exportaciones de petróleo y derivados USD 634.3 millones;
• Desembolsos deuda externa USD 253.6 millones; 
• Emisión Deuda Interna USD 142.9 millones; 
• Depósitos Sistema Financiero USD 79.0 millones;
• Exportaciones privadas USD 13.8 millones (ALADI);
• Emisión monetaria fraccionaria USD 0.4 millones, entre otros.
Estos ingresos se compensaron por los siguientes egresos: 
• Desacumulación neta de los depósitos del Gobierno Central USD 2,097.2 millones;
• Pagos por importaciones sector público USD 308.4 millones; 
• Servicio de la deuda externa e interna por USD 174.2 millones (amortización e intereses de la deuda externa e interna por USD 143.1 millones y USD 31.1 millones, respectivamente);
• Retiro depósitos Fondos de Seguridad Social USD 166.5 millones;
• Retiro depósitos Gobiernos Locales USD 156.8 millones;
• Retiro depósitos Empresas Públicas no Financieras USD 73.9 millones;
• Otros servicios y transferencias internacionales USD 55.8 millones, entre otros.
</t>
  </si>
  <si>
    <t xml:space="preserve">En enero de 2012, las reservas internacionales se incrementaron en USD 413.8 millones, lo que significó que el saldo en este mes registrara un valor de USD 3,371.4 millones (mientras que en diciembre de 2011 fue USD 2,957.6 millones). 
Los principales ingresos en este mes fueron: 
• Recaudación principales impuestos USD 1,095.6 millones (IVA USD 511.2 millones, a la renta USD 451.2 millones, arancelarios USD 101.9 millones, ICE USD 31.3 millones); 
• Exportaciones de petróleo y derivados USD 646.2 millones;
• Depósitos Gobiernos Locales USD 114.4 millones;
• Depósitos Sistema Financiero USD 104.2 millones;
• Depósitos Empresas Públicas no Financieras USD 69.3 millones;
• Depósitos Fondos de Seguridad Social USD 47.7 millones;
• Exportaciones privadas USD 21.4 millones (ALADI);
• Emisión Deuda Interna USD 3.9 millones; 
• Desembolsos deuda externa USD 0.6 millones; 
• Emisión monetaria fraccionaria USD 0.2 millones, entre otros.
Estos ingresos se compensaron por los siguientes egresos: 
• Desacumulación neta de los depósitos del Gobierno Central USD 1,251.4 millones;
• Pagos por importaciones sector público USD 253.6 millones; 
• Servicio de la deuda externa e interna por USD 128.1 millones (amortización e intereses de la deuda externa e interna por USD 122.5 millones y USD 5.6 millones, respectivamente);
• Otros servicios y transferencias internacionales USD 56.6 millones, entre otros.
</t>
  </si>
  <si>
    <t>Periodo</t>
  </si>
  <si>
    <t>Saldo de la RILD</t>
  </si>
  <si>
    <t>Explicación</t>
  </si>
  <si>
    <t xml:space="preserve">En febrero de 2012, las reservas internacionales se incrementaron en USD 4.2 millones, lo que significó que el saldo en este mes registrara un valor de USD 3,375.5 millones (mientras que en enero de 2012 fue USD 3,371.4 millones). 
Los principales ingresos en este mes fueron: 
• Exportaciones de petróleo y derivados USD 1,009.9 millones; 
• Recaudación principales impuestos USD 723.1 millones (IVA USD 408..6 millones, a la renta USD 190.9 millones, arancelarios USD 89.6 millones, ICE USD 34.0 millones); 
• Depósitos Empresas Públicas no Financieras USD 187.8 millones;
• Desembolsos deuda externa USD 27.8 millones; 
• Exportaciones privadas USD 13.1 millones (ALADI);
• Depósitos Gobiernos Locales USD 8.0 millones;
• Depósitos Sistema Financiero USD 6.4 millones;
• Emisión Deuda Interna USD 0.8 millones, entre otros.
Estos ingresos se compensaron por los siguientes egresos: 
• Desacumulación neta de los depósitos del Gobierno Central USD 1,481.3 millones;
• Pagos por importaciones sector público USD 305.3 millones; 
• Servicio de la deuda externa e interna por USD 141.6 millones (amortización e intereses de la deuda externa e interna por USD 123.9 millones y USD 17.7 millones, respectivamente);
• Otros servicios y transferencias internacionales USD 22.6 millones;
• Depósitos Fondos de Seguridad Social USD 21.6 millones;
• Emisión monetaria fraccionaria USD 0.4 millones, entre otros.
</t>
  </si>
  <si>
    <t xml:space="preserve">En marzo de 2012, las reservas internacionales disminuyeron en USD 7.4 millones, lo que significó que el saldo en este mes registrara un valor de USD 3,368.1 millones (mientras que en febrero de 2012 fue USD 3,375.5 millones). 
Los principales ingresos en este mes fueron: 
• Exportaciones de petróleo y derivados USD 993.4 millones; 
• Recaudación principales impuestos USD 868.5 millones (IVA USD 416.5 millones, a la renta USD 314.2 millones, arancelarios USD 103.7 millones, ICE USD 34.1 millones); 
• Emisión Deuda Interna USD 319.8 millones;
• Depósitos Sistema Financiero USD 204.4 millones;
• Desembolsos deuda externa USD 64.1 millones; 
• Depósitos Gobiernos Locales USD 15.7 millones;
• Exportaciones privadas USD 10.6 millones (ALADI), entre otros.
Estos ingresos se compensaron por los siguientes egresos: 
• Desacumulación neta de los depósitos del Gobierno Central USD 1,953.9 millones;
• Pagos por importaciones sector público USD 240.3 millones; 
• Servicio de la deuda externa e interna por USD 82.7 millones (amortización e intereses de la deuda externa e interna por USD 82.4 millones y USD 0.3 millones, respectivamente);
• Otros servicios y transferencias internacionales USD 78.3 millones;
• Depósitos Fondos de Seguridad Social USD 73.3 millones;
• Depósitos Empresas Públicas no Financieras USD 55.3 millones;
• Emisión monetaria fraccionaria USD 0.1 millones, entre otros.
</t>
  </si>
  <si>
    <t xml:space="preserve">En abril de 2012, las reservas internacionales aumentaron en USD 419.3 millones, lo que significó que el saldo en este mes registrara un valor de USD 3,787.4 millones (mientras que en marzo de 2012 fue USD 3,368.1 millones). 
Los principales ingresos en este mes fueron: 
• Emisión Deuda Interna USD 1,325.4 millones;
• Recaudación principales impuestos USD 1,192.0 millones (IVA USD 386.0 millones, a la renta USD 668.8 millones, arancelarios USD 94.6 millones, ICE USD 42.6 millones); 
• Exportaciones de petróleo y derivados USD 1,153.5 millones; 
• Depósitos Fondos de Seguridad Social USD 278.9 millones;
• Desembolsos deuda externa USD 74.7 millones; 
• Depósitos Gobiernos Locales USD 25.1 millones;
• Exportaciones privadas USD 5.7 millones (ALADI), entre otros.
Estos ingresos se compensaron por los siguientes egresos: 
• Desacumulación neta de los depósitos del Gobierno Central USD 2,695.8 millones;
• Pagos por importaciones sector público USD 343.1 millones; 
• Retiro de depósitos del Sistema Financiero USD 270.6 millones;
• Servicio de la deuda externa e interna por USD 202.9 millones (amortización e intereses de la deuda externa e interna por USD 181.3 millones y USD 21.6 millones, respectivamente);
• Otros servicios y transferencias internacionales USD 70.0 millones;
• Retiro de depósitos Empresas Públicas no Financieras USD 53.3 millones;
• Emisión monetaria fraccionaria USD 0.3 millones, entre otros.
</t>
  </si>
  <si>
    <t xml:space="preserve">
En mayo de 2012, las reservas internacionales aumentaron en USD 130.7 millones, lo que significó que el saldo en este mes registrara un valor de USD 3,918.1 millones (mientras que en abril de 2012 fue USD 3,787.4 millones). 
Los principales ingresos en este mes fueron: 
• Exportaciones de petróleo y derivados USD 1,146.3 millones;
• Recaudación principales impuestos USD 946.9 millones (IVA USD 508.8 millones, a la renta USD 287.1 millones, arancelarios USD 109.9 millones, ICE USD 41.1 millones); 
• Emisión Deuda Interna USD 156.9 millones;
• Desembolsos deuda externa USD 31.2 millones;
• Depósitos Sistema Financiero USD 14.3 millones;
• Exportaciones privadas USD 4.5 millones (ALADI);
• Emisión monetaria fraccionaria USD 0.7 millones, entre otros.
Estos ingresos se compensaron por los siguientes egresos: 
• Desacumulación neta de los depósitos del Gobierno Central USD 1,222.0 millones;
• Servicio de la deuda externa e interna por USD 465.5 millones (amortización e intereses de la deuda externa e interna por USD 119.4 millones y USD 346.1 millones, respectivamente);
• Pagos por importaciones sector público USD 337.0 millones; 
• Otros servicios y transferencias internacionales USD 60.4 millones;
• Retiro de depósitos Empresas Públicas no Financieras USD 55.3 millones;
• Retiro de depósitos Fondos de Seguridad Social USD 28.8 millones;
• Retiro de depósitos Gobiernos Locales USD 1.1 millones, entre otros.
</t>
  </si>
  <si>
    <t xml:space="preserve">
En junio de 2012, las reservas internacionales aumentaron en USD 12.8 millones, lo que significó que el saldo en este mes registrara un valor de USD 3,930.9 millones (mientras que en mayo de 2012 fue USD 3,918.1 millones). 
Los principales ingresos en este mes fueron: 
• Exportaciones de petróleo y derivados USD 1,065.0 millones;
• Recaudación principales impuestos USD 742.3 millones (IVA USD 423.0 millones, a la renta USD 170.1 millones, arancelarios USD 106.4 millones, ICE USD 42.8 millones); 
• Depósitos Sistema Financiero USD 176.0 millones;
• Emisión Deuda Interna USD 94.8 millones;
• Depósitos Empresas Públicas no Financieras USD 39.1 millones;
• Depósitos Gobiernos Locales USD 31.6 millones;
• Exportaciones privadas USD 6.5 millones (ALADI);
• Desembolsos deuda externa USD 2.1 millones;
• Emisión monetaria fraccionaria USD 0.2 millones, entre otros.
Estos ingresos se compensaron por los siguientes egresos: 
• Desacumulación neta de los depósitos del Gobierno Central USD 1,579.1 millones;
• Pagos por importaciones sector público USD 263.2 millones; 
• Servicio de la deuda externa e interna por USD 228.7 millones (amortización e intereses de la deuda externa e interna por USD 194.7 millones y USD 34.0 millones, respectivamente);
• Otros servicios y transferencias internacionales USD 60.4 millones;
• Retiro de depósitos Fondos de Seguridad Social USD 13.2 millones, entre otros.
</t>
  </si>
  <si>
    <t xml:space="preserve">En julio de 2012, las reservas internacionales aumentaron en USD 109.4 millones, lo que significó que el saldo en este mes registrara un valor de USD 4,040.3 millones (mientras que en junio de 2012 fue USD 3,930.9 millones). 
Los principales ingresos en este mes fueron: 
• Recaudación principales impuestos USD 897.6 millones (IVA USD 455.5 millones, a la renta USD 281.4 millones, arancelarios USD 112.4 millones, ICE USD 48.3 millones); 
• Exportaciones de petróleo y derivados USD 762.4 millones;
• Depósitos Fondos de Seguridad Social USD 195.6 millones;
• Desembolsos deuda externa USD 76 millones;
• Emisión Deuda Interna USD 43.4 millones;
• Depósitos Empresas Públicas no Financieras USD 42.7 millones;
• Exportaciones privadas USD 6 millones (ALADI), entre otros.
Estos ingresos se compensaron por los siguientes egresos: 
• Desacumulación neta de los depósitos del Gobierno Central USD 1,036.5 millones;
• Pagos por importaciones sector público USD 548.4 millones; 
• Retiro de depósitos Sistema Financiero USD 109.3 millones;
• Servicio de la deuda externa e interna por USD 103.6 millones (amortización e intereses de la deuda externa e interna por USD 98.3 millones y USD 5.4 millones, respectivamente);
• Otros servicios y transferencias internacionales USD 100 millones;
• Retiro de depósitos Gobiernos Locales USD 16 millones;
• Emisión monetaria fraccionaria USD 0.5 millones, entre otros.
</t>
  </si>
  <si>
    <t xml:space="preserve">En agosto de 2012, las reservas internacionales aumentaron en USD 178.5 millones, lo que significó que el saldo en este mes registrara un valor de USD 4,218.8 millones (mientras que en julio de 2012 fue USD 4,040.3 millones). 
Los principales ingresos en este mes fueron: 
• Recaudación principales impuestos USD 883.6 millones (IVA USD 504.5 millones, a la renta USD 207.4 millones, arancelarios USD 125.9 millones, ICE USD 45.8 millones); 
• Exportaciones de petróleo y derivados USD 834.4 millones;
• Depósitos del Sistema Financiero USD 693.5 millones;
• Emisión Deuda Interna USD 265.3 millones;
• Desembolsos deuda externa USD 74.8 millones;
• Depósitos Gobiernos Locales USD 6.0 millones;
• Exportaciones privadas USD 4.0 millones (ALADI). 
• Emisión monetaria fraccionaria USD 0.4 millones, entre otros.
Estos ingresos se compensaron por los siguientes egresos: 
• Desacumulación neta de los depósitos del Gobierno Central USD 2,031.7 millones;
• Pagos por importaciones sector público USD 184.1 millones; 
• Retiro de Fondos de Seguridad Social USD 150.6 millones;
• Servicio de la deuda externa e interna por USD 144.9 millones (amortización e intereses de la deuda externa e interna por USD 126.9 millones y USD 18.0 millones, respectivamente);
• Otros servicios y transferencias internacionales USD 45.8 millones;
• Retiro de depósitos Empresas Públicas no Financieras USD 26.3 millones, entre otros.
</t>
  </si>
  <si>
    <t xml:space="preserve">En septiembre de 2012, las reservas internacionales aumentaron en USD 664.6 millones, lo que significó que el saldo en este mes registrara un valor de USD 4,883.4 millones (mientras que en agosto de 2012 fue USD 4,218.8 millones). 
Los principales ingresos en este mes fueron: 
• Exportaciones de petróleo y derivados USD 960.9 millones;
• Recaudación principales impuestos USD 786.0 millones (IVA USD 383.8 millones, a la renta USD 260.5 millones, arancelarios USD 98.1 millones, ICE USD 43.6 millones); 
• Desembolsos deuda externa USD 672.8 millones;
• Depósitos Empresas Públicas no Financieras USD 168.5 millones;
• Emisión Deuda Interna USD 121.4 millones;
• Depósitos Gobiernos Locales USD 29.3 millones;
• Depósitos Fondos de Seguridad Social USD 25.1 millones;
• Otros servicios y transferencias internacionales USD 20.9 millones;
• Exportaciones privadas USD 5.1 millones (ALADI), entre otros.
Estos ingresos se compensaron por los siguientes egresos: 
• Desacumulación neta de los depósitos del Gobierno Central USD 1,638.1 millones;
• Pagos por importaciones sector público USD 274.2 millones; 
• Retiro de depósitos del Sistema Financiero USD 109.0 millones;
• Servicio de la deuda externa e interna por USD 104.1 millones (amortización e intereses de la deuda externa e interna por USD 89.9 millones y USD 14.2 millones, respectivamente);
• Emisión monetaria fraccionaria USD 0.1 millones, entre otros.
</t>
  </si>
  <si>
    <t xml:space="preserve">En octubre de 2012, las reservas internacionales disminuyeron en USD 850.2 millones, lo que significó que el saldo en este mes registrara un valor de USD 4,033.2 millones (mientras que en septiembre de 2012 fue USD 4,883.4 millones). 
Los principales ingresos en este mes fueron: 
• Exportaciones de petróleo y derivados USD 948.7 millones;
• Recaudación principales impuestos USD 873.6 millones (IVA USD 501.3 millones, a la renta USD 232.4 millones, arancelarios USD 97.8 millones, ICE USD 42.1 millones); 
• Emisión Deuda Interna USD 322.2 millones;
• Desembolsos deuda externa USD 139.6 millones;
• Depósitos Fondos de Seguridad Social USD 43.1 millones;
• Exportaciones privadas USD 1.5 millones (ALADI);
• Emisión monetaria fraccionaria USD 0.1 millones, entre otros.
Estos ingresos se compensaron por los siguientes egresos: 
• Desacumulación neta de los depósitos del Gobierno Central USD 2,238.4 millones;
• Servicio de la deuda externa e interna por USD 320.9 millones (amortización e intereses de la deuda externa e interna por USD 108.3 millones y USD 212.6 millones, respectivamente);
• Pagos por importaciones sector público USD 297.5 millones; 
• Retiro depósitos Empresas Públicas no Financieras USD 125.2 millones;
• Retiro de depósitos del Sistema Financiero USD 93.5 millones;
• Otros servicios y transferencias internacionales USD 87.3 millones;
• Retiro depósitos Gobiernos Locales USD 16.2 millones, entre otros.
</t>
  </si>
  <si>
    <t xml:space="preserve">En noviembre de 2012, las reservas internacionales disminuyeron en USD 590.2 millones, lo que significó que el saldo en este mes registrara un valor de USD 3,443.0 millones (mientras que en octubre de 2012 fue USD 4,033.2 millones). 
Los principales ingresos en este mes fueron: 
• Exportaciones de petróleo y derivados USD 843.2 millones;
• Recaudación principales impuestos USD 840.8 millones (IVA USD 479.6 millones, a la renta USD 199.3 millones, arancelarios USD 115.1 millones, ICE USD 46.8 millones); 
• Emisión Deuda Interna USD 630.0 millones;
• Desembolsos deuda externa USD 145.5 millones;
• Depósitos Empresas Públicas no Financieras USD 52.8 millones;
• Depósitos Fondos de Seguridad Social USD 28.5 millones;
• Exportaciones privadas USD 2.8 millones (ALADI), entre otros.
Estos ingresos se compensaron por los siguientes egresos: 
• Desacumulación neta de los depósitos del Gobierno Central USD 2,292.7 millones;
• Pagos por importaciones sector público USD 401.2 millones; 
• Servicio de la deuda externa e interna por USD 178.4 millones (amortización e intereses de la deuda externa e interna por USD 131.3 millones y USD 47.1 millones, respectivamente);
• Otros servicios y transferencias internacionales USD 136.9 millones;
• Retiro de depósitos del Sistema Financiero USD 90.2 millones;
• Retiro depósitos Gobiernos Locales USD 34.1 millones;
• Emisión monetaria fraccionaria USD 0.2 millones, entre otros.
</t>
  </si>
  <si>
    <t xml:space="preserve">En diciembre de 2012, las reservas internacionales disminuyeron en USD 960.4 millones, lo que significó que el saldo en este mes registrara un valor de USD 2,482.5 millones (mientras que en noviembre de 2012 fue USD 3,443.0 millones). 
Los principales ingresos en este mes fueron: 
• Recaudación principales impuestos USD 821.5 millones (IVA USD 449.8 millones, a la renta USD 210.0 millones, arancelarios USD 117.2 millones, ICE USD 44.5 millones); 
• Exportaciones de petróleo y derivados USD 734.7 millones;
• Exportaciones privadas USD 543.1 millones (ALADI);
• Emisión Deuda Interna USD 456.7 millones;
• Depósitos del Sistema Financiero USD 236.0 millones;
• Desembolsos deuda externa USD 160.4 millones;
• Emisión monetaria fraccionaria USD 1.4 millones, entre otros.
Estos ingresos se compensaron por los siguientes egresos: 
• Desacumulación neta de los depósitos del Gobierno Central USD 3,079.5 millones;
• Retiro de depósitos Fondos de Seguridad Social USD 285.9 millones;
• Servicio de la deuda externa e interna por USD 214.4 millones (amortización e intereses de la deuda externa e interna por USD 174.5 millones y USD 39.9 millones, respectivamente);
• Pagos por importaciones sector público USD 161.1 millones; 
• Retiro de depósitos Empresas Públicas no Financieras USD 103.4 millones;
• Otros servicios y transferencias internacionales USD 51.8 millones;
• Retiro depósitos Gobiernos Locales USD 18.1 millones, entre otros.
</t>
  </si>
  <si>
    <t xml:space="preserve">En enero de 2013, las reservas internacionales aumentaron en USD 344.6 millones, lo que significó que el saldo en este mes registrara un valor de USD 2,827.1 millones (mientras que en diciembre de 2012 fue USD 2,482.5 millones). 
Los principales ingresos en este mes fueron: 
• Recaudación principales impuestos USD 1,196.4 millones (IVA USD 669.2 millones, a la renta USD 366.2 millones, arancelarios USD 111.3 millones, ICE USD 49.7 millones); 
• Exportaciones de petróleo y derivados USD 819.5 millones;
• Exportaciones privadas USD 315.9 millones (ALADI);
• Depósitos Fondos de Seguridad Social USD 153.6 millones;
• Emisión Deuda Interna USD 129.7 millones;
• Desembolsos deuda externa USD 59.8 millones;
• Depósitos Gobiernos Locales USD 56.5 millones;
• Depósitos Empresas Públicas no Financieras USD 4.0 millones, entre otros.
Estos ingresos se compensaron por los siguientes egresos: 
• Desacumulación neta de los depósitos del Gobierno Central USD 1,674.6 millones;
• Pagos por importaciones sector público USD 301.4 millones; 
• Retiro depósitos del Sistema Financiero USD 207.9 millones;
• Otros servicios y transferencias internacionales USD 111.5 millones;
• Servicio de la deuda externa e interna por USD 94.5 millones (amortización e intereses de la deuda externa e interna por USD 59.2 millones y USD 35.3 millones, respectivamente);
• Emisión monetaria fraccionaria USD 0.8 millones, entre otros.
</t>
  </si>
  <si>
    <t xml:space="preserve">En febrero de 2013, las reservas internacionales aumentaron en USD 1,385.7 millones, lo que significó que el saldo en este mes registrara un valor de USD 4,212.8 millones (mientras que en enero de 2013 fue USD 2,827.1 millones). 
Los principales ingresos en este mes fueron: 
• Desembolsos deuda externa USD 1,440.8 millones;
• Exportaciones de petróleo y derivados USD 912.0 millones;
• Recaudación principales impuestos USD 685.1 millones (IVA USD 394.1 millones, a la renta USD 147.3 millones, arancelarios USD 97.5 millones, ICE USD 46.2 millones); 
• Depósitos del Sistema Financiero USD 289.2 millones;
• Depósitos Empresas Públicas no Financieras USD 219.6 millones;
• Exportaciones privadas USD 166.3 millones (ALADI);
• Emisión Deuda Interna USD 95.3 millones;
• Depósitos Gobiernos Locales USD 22.0 millones;
• Emisión monetaria fraccionaria USD 0.2 millones, entre otros.
Estos ingresos se compensaron por los siguientes egresos: 
• Desacumulación neta de los depósitos del Gobierno Central USD 1,511.0 millones;
• Pagos por importaciones sector público USD 477.2 millones; 
• Servicio de la deuda externa e interna por USD 341.5 millones (amortización e intereses de la deuda externa e interna por USD 120.8 millones y USD 220.7 millones, respectivamente);
• Otros servicios y transferencias internacionales USD 86.0 millones;
• Retiro de depósitos Fondos de Seguridad Social USD 29.2 millones, entre otros.
</t>
  </si>
  <si>
    <t xml:space="preserve">En marzo de 2013, las reservas internacionales aumentaron en USD 160.2 millones, lo que significó que el saldo en este mes registrara un valor de USD 4,373.0 millones (mientras que en febrero de 2013 fue USD 4,212.8  millones). 
Los principales ingresos en este mes fueron: 
• Exportaciones de petróleo y derivados USD 991.4 millones;
• Recaudación principales impuestos USD 856.5 millones (IVA USD 453.5 millones, a la renta USD 256.6 millones, arancelarios USD 103.6 millones, ICE USD 42.8 millones); 
• Depósitos del Sistema Financiero USD 265.9 millones;
• Emisión Deuda Interna USD 155.3 millones;
• Depósitos Fondos de Seguridad Social USD 110.7 millones;
• Exportaciones privadas USD 92.2 millones (ALADI);
• Desembolsos deuda externa USD 68.5 millones, entre otros.
Estos ingresos se compensaron por los siguientes egresos: 
• Desacumulación neta de los depósitos del Gobierno Central USD 1,563.5 millones;
• Pagos por importaciones sector público USD 482.4 millones; 
• Servicio de la deuda externa e interna por USD 177.6 millones (amortización e intereses de la deuda externa e interna por USD 108.3 millones y USD 69.3 millones, respectivamente);
• Otros servicios y transferencias internacionales USD 107.5 millones;
• Retiro de depósitos Empresas Públicas no Financieras USD 25.1 millones;
• Retiro de depósitos Gobiernos Locales USD 24.0 millones;
• Emisión monetaria fraccionaria USD 0.1 millones, entre otros.
</t>
  </si>
  <si>
    <t xml:space="preserve">En abril de 2013, las reservas internacionales aumentaron en USD 287.8 millones, lo que significó que el saldo en este mes registrara un valor de USD 4,660.9 millones (mientras que en marzo de 2013 fue USD 4,373.0 millones).
Los principales ingresos en este mes fueron: 
• Recaudación principales impuestos USD 1,589.1 millones (a la renta USD 899.4 millones, IVA USD 536.4 millones, arancelarios USD 107.8 millones, ICE USD 45.5 millones); 
• Exportaciones de petróleo y derivados USD 1,078.7 millones;
• Emisión Deuda Interna USD 194.5 millones;
• Desembolsos deuda externa USD 92.3 millones;
• Depósitos Empresas Públicas no Financieras USD 60.4 millones;
• Depósitos Fondos de Seguridad Social USD 17.4 millones;
• Exportaciones privadas USD 11.8 millones (ALADI), entre otros.
Estos ingresos se compensaron por los siguientes egresos: 
• Desacumulación neta de los depósitos del Gobierno Central USD 1,703.2 millones;
• Pagos por importaciones sector público USD 480.3 millones; 
• Servicio de la deuda externa e interna por USD 257.0 millones (amortización e intereses de la deuda externa e interna por USD 163.2 millones y USD 93.8 millones, respectivamente);
• Retiros de depósitos del Sistema Financiero USD 188.1 millones;
• Otros servicios y transferencias internacionales USD 85.4 millones;
• Retiro de depósitos Gobiernos Locales USD 42.1 millones;
• Emisión monetaria fraccionaria USD 0.3 millones, entre otros.
</t>
  </si>
  <si>
    <t xml:space="preserve">Los principales ingresos en este mes fueron: 
• Recaudación principales impuestos USD 1,011.6 millones (IVA USD 542.4 millones, a la renta USD 304.1 millones, arancelarios USD 116.5 millones, ICE USD 48.6 millones); 
• Exportaciones de petróleo y derivados USD 870.1 millones;
• Emisión Deuda Interna USD 207.0 millones;
• Exportaciones privadas USD 73.5 millones (ALADI);
• Depósitos Gobiernos Locales USD 32.0 millones;
• Depósitos Empresas Públicas no Financieras USD 15.1 millones;
• Emisión monetaria fraccionaria USD 1.1 millones, entre otros.
Estos ingresos se compensaron por los siguientes egresos: 
• Desacumulación neta de los depósitos del Gobierno Central USD 1,608.6 millones;
• Pagos por importaciones sector público 602.3 millones; 
• Servicio de la deuda externa e interna por USD 209.8 millones (amortización e intereses de la deuda externa e interna por USD 118.3 millones y USD 91.5 millones, respectivamente);
• Retiros de depósitos del Sistema Financiero USD 93.8 millones;
• Otros servicios y transferencias internacionales USD 87.2 millones;
• Retiros de depósitos Fondos de Seguridad Social USD 79.1 millones, entre otros.
</t>
  </si>
  <si>
    <t xml:space="preserve">En junio de 2013, las reservas internacionales disminuyeron en USD 430.6 millones, lo que significó que el saldo en este mes registrara un valor de USD 3,760.5 millones (mientras que en mayo de 2013 fue USD 4,191.1 millones).
Los principales ingresos en este mes fueron: 
• Exportaciones de petróleo y derivados USD 765.4 millones;
• Recaudación principales impuestos USD 764.4 millones (IVA USD 431.5 millones, a la renta USD 182.4 millones, arancelarios USD 105.9 millones, ICE USD 44.6 millones); 
• Emisión Deuda Interna USD 212.6 millones;
• Depósitos Empresas Públicas no Financieras USD 55.6 millones;
• Depósitos Fondos de Seguridad Social USD 54.3 millones;
• Depósitos del Sistema Financiero USD 39.2 millones;
• Otros servicios y transferencias internacionales USD 17.1 millones;
• Exportaciones privadas USD 2.5 millones (ALADI), entre otros.
Estos ingresos se compensaron por los siguientes egresos: 
• Desacumulación neta de los depósitos del Gobierno Central USD 1,621.4 millones;
• Pagos por importaciones sector público 431.6 millones; 
• Servicio de la deuda externa e interna por USD 272.3 millones (amortización e intereses de la deuda externa e interna por USD 234.9 millones y USD 37.4 millones, respectivamente);
• Retiros de depósitos de los Gobiernos Locales USD 15.9 millones;
• Emisión monetaria fraccionaria USD 0.4 millones, entre otros.
</t>
  </si>
  <si>
    <t xml:space="preserve">En julio de 2013, las reservas internacionales disminuyeron en USD 90.5 millones, lo que significó que el saldo en este mes registrara un valor de USD 3,670.0 millones (mientras que en junio de 2013 fue USD 3,760.5 millones).
Los principales ingresos en este mes fueron: 
• Recaudación principales impuestos USD 1,135.1millones (IVA USD 596.0 millones, a la renta USD 371.4 millones, arancelarios USD 119.4 millones, ICE USD 48.3 millones); 
• Exportaciones de petróleo y derivados USD 1,030.4 millones;
• Emisión Deuda Interna USD 168.1 millones;
• Desembolsos deuda externa USD 41.8 millones;
• Exportaciones privadas USD 36.2 millones (ALADI);
• Depósitos Empresas Públicas no Financieras USD 19.4 millones;
• Depósitos Gobiernos Locales USD 10.2 millones;
• Emisión monetaria fraccionaria USD 0.3 millones, entre otros.
Estos ingresos se compensaron por los siguientes egresos: 
• Desacumulación neta de los depósitos del Gobierno Central USD 1,510.6 millones;
• Pagos por importaciones sector público 563.8 millones; 
• Retiro de depósitos del Sistema Financiero USD 195.9 millones;
• Otros servicios y transferencias internacionales USD 113.0 millones;
• Servicio de la deuda externa e interna por USD 91.4 millones (amortización e intereses de la deuda externa e interna por USD 57.8 millones y USD 33.6 millones, respectivamente);
• Retiros de depósitos de los Fondos de Seguridad Social USD 57.3 millones, entre otros.
</t>
  </si>
  <si>
    <t xml:space="preserve">En agosto de 2013, las reservas internacionales aumentaron en USD 838.1 millones, lo que significó que el saldo en este mes registrara un valor de USD 4,508.1 millones (mientras que en julio de 2013 fue USD 3,670.0  millones).
Los principales ingresos en este mes fueron: 
• Exportaciones de petróleo y derivados USD 1,163.7 millones;
• Recaudación principales impuestos USD 976.8 millones (IVA USD 536.7 millones, a la renta USD 271.8 millones, arancelarios USD 120.3 millones, ICE USD 48.0 millones); 
• Depósitos del Sistema Financiero USD 240.3 millones;
• Emisión Deuda Interna USD 232.2 millones;
• Depósitos de los Fondos de Seguridad Social USD 127.2 millones;
• Depósitos Gobiernos Locales USD 49.6 millones;
• Desembolsos deuda externa USD 11.5 millones;
• Exportaciones privadas USD 4.0 millones (ALADI);
• Emisión monetaria fraccionaria USD 0.1 millones, entre otros.
Estos ingresos se compensaron por los siguientes egresos: 
• Desacumulación neta de los depósitos del Gobierno Central USD 985.9 millones;
• Pagos por importaciones sector público USD 572.4 millones; 
• Servicio de la deuda externa e interna por USD 285.9 millones (amortización e intereses de la deuda externa e interna por USD 113.4 millones y USD 172.5 millones, respectivamente);
• Otros servicios y transferencias internacionales USD 107.7 millones;
• Retiros de depósitos Empresas Públicas no Financieras USD 15.6 millones, entre otros.
</t>
  </si>
  <si>
    <t xml:space="preserve">En septiembre de 2013, las reservas internacionales disminuyeron en USD 274.6 millones, lo que significó que el saldo en este mes registrara un valor de USD 4,233.5 millones (mientras que en agosto de 2013 fue USD 4,508.1 millones).
Los principales ingresos en este mes fueron: 
• Exportaciones de petróleo y derivados USD 1,041.5 millones;
• Recaudación principales impuestos USD 895.9 millones (IVA USD 435.1 millones, a la renta USD 310.4 millones, arancelarios USD 104.4 millones, ICE USD 46.0 millones); 
• Emisión Deuda Interna USD 208.0 millones;
• Desembolsos deuda externa USD 122.7 millones;
• Depósitos Gobiernos Locales USD 121.5 millones;
• Depósitos del Sistema Financiero USD 41.3 millones;
• Exportaciones privadas USD 35.2 millones (ALADI), entre otros.
Estos ingresos se compensaron por los siguientes egresos: 
• Desacumulación neta de los depósitos del Gobierno Central USD 1,630.0 millones;
• Pagos por importaciones sector público USD 467.5 millones; 
• Servicio de la deuda externa e interna por USD 336.8 millones (amortización e intereses de la deuda externa e interna por USD 232.9 millones y USD 103.9 millones, respectivamente);
• Otros servicios y transferencias internacionales USD 190.2 millones;
• Retiros de depósitos de los Fondos de Seguridad Social USD 97.0 millones;
• Retiros de depósitos Empresas Públicas no Financieras USD 19.0 millones;
• Emisión monetaria fraccionaria USD 0.3 millones, entre otros.
</t>
  </si>
  <si>
    <t xml:space="preserve">En octubre de 2013, las reservas internacionales disminuyeron en USD 27.5 millones, lo que significó que el saldo en este mes registrara un valor de USD 4,206.0 millones (mientras que en septiembre de 2013 fue USD 4,233.5 millones).
Los principales ingresos en este mes fueron: 
• Exportaciones de petróleo y derivados USD 1,193.5 millones;
• Recaudación principales impuestos USD 1,050.7 millones (IVA USD 611.2 millones, a la renta USD 271.5 millones, arancelarios USD 119.6 millones, ICE USD 48.4 millones); 
• Emisión Deuda Interna USD 828.3 millones;
• Depósitos de los Fondos de Seguridad Social USD 179.5 millones;
• Desembolsos deuda externa USD 114.6 millones;
• Depósitos Empresas Públicas no Financieras USD 96.8 millones;
• Depósitos del Sistema Financiero USD 51.3 millones;
• Exportaciones privadas USD 32.9 millones (ALADI);
• Emisión monetaria fraccionaria USD 0.9 millones, entre otros.
Estos ingresos se compensaron por los siguientes egresos: 
• Desacumulación neta de los depósitos del Gobierno Central USD 2,314.0 millones;
• Pagos por importaciones sector público USD 648.1 millones; 
• Servicio de la deuda externa e interna por USD 463.8 millones (amortización e intereses de la deuda externa e interna por USD 113.0 millones y USD 350.8 millones, respectivamente);
• Otros servicios y transferencias internacionales USD 141.0 millones;
• Retiro de depósitos Gobiernos Locales USD 9.2 millones, entre otros.
</t>
  </si>
  <si>
    <t xml:space="preserve">En noviembre de 2013, las reservas internacionales disminuyeron en USD 154.9 millones, lo que significó que el saldo en este mes registrara un valor de USD 4,051.1 millones (mientras que en octubre de 2013 fue USD 4,206.0 millones).
Los principales ingresos en este mes fueron: 
• Exportaciones de petróleo y derivados USD 999.3 millones;
• Recaudación principales impuestos USD 894.9 millones (IVA USD 510.3 millones, a la renta USD 215.6 millones, arancelarios USD 120.5 millones, ICE USD 48.5 millones); 
• Depósitos del Sistema Financiero USD 517.9 millones;
• Desembolsos deuda externa USD 297.4 millones;
• Emisión Deuda Interna USD 165.5 millones;
• Depósitos Gobiernos Locales USD 26.8 millones;
• Exportaciones privadas USD 25.2 millones (ALADI);
• Emisión monetaria fraccionaria USD 0.5 millones, entre otros.
Estos ingresos se compensaron por los siguientes egresos: 
• Desacumulación neta de los depósitos del Gobierno Central USD 1,938.9 millones;
• Pagos por importaciones sector público USD 596.6 millones; 
• Servicio de la deuda externa e interna por USD 185.6 millones (amortización e intereses de la deuda externa e interna por USD 116.3 millones y USD 69.3 millones, respectivamente);
• Otros servicios y transferencias internacionales USD 149.9 millones;
• Retiro de depósitos de los Fondos de Seguridad Social USD 125.2 millones;
• Retiro de depósitos Empresas Públicas no Financieras USD 86.2 millones, entre otros.
</t>
  </si>
  <si>
    <t xml:space="preserve">En diciembre de 2013, las reservas internacionales aumentaron en USD 309.5 millones, lo que significó que el saldo en este mes registrara un valor de USD 4,360.5 millones (mientras que en noviembre de 2013 fue USD 4,051.1 millones).
Los principales ingresos en este mes fueron: 
• Exportaciones de petróleo y derivados USD 914.4 millones;
• Recaudación principales impuestos USD 847.4 millones (IVA USD 467.8 millones, a la renta USD 212.4 millones, arancelarios USD 114.5 millones, ICE USD 52.7 millones); 
• Depósitos del Sistema Financiero USD 597.2 millones;
• Emisión Deuda Interna USD 559.5 millones;
• Desembolsos deuda externa USD 267.5 millones;
• Exportaciones privadas USD 31.4 millones (ALADI);
• Emisión monetaria fraccionaria USD 1.6 millones, entre otros.
Estos ingresos se compensaron por los siguientes egresos: 
• Desacumulación neta de los depósitos del Gobierno Central USD 1,137.8 millones;
• Pagos por importaciones sector público USD 592.4 millones; 
• Servicio de la deuda externa e interna por USD 416.7 millones (amortización e intereses de la deuda externa e interna por USD 362.6 millones y USD 54.1 millones, respectivamente);
• Retiro de depósitos de los Fondos de Seguridad Social USD 249.9 millones;
• Otros servicios y transferencias internacionales USD 200.3 millones;
• Retiro de depósitos Empresas Públicas no Financieras USD 197.6 millones;
• Retiro de depósitos Gobiernos Locales USD 114.9 millones, entre otros.
</t>
  </si>
  <si>
    <t xml:space="preserve">En febrero de 2014, las reservas internacionales aumentaron en USD 149.7 millones, lo que significó que el saldo en este mes registrara un valor de USD 4,332.4 millones (mientras que en enero de 2014 fue USD 4,182.7 millones).
Los principales ingresos en este mes fueron: 
• Recaudación principales impuestos USD 834.8 millones (IVA USD 496.0 millones, a la renta USD 198.6 millones, arancelarios USD 96.6 millones, ICE USD 43.6 millones); 
• Exportaciones de petróleo y derivados USD 775.8 millones;
• Emisión Deuda Interna USD 761.1 millones;
• Depósitos de los Fondos de Seguridad Social USD 162.8 millones;
• Desembolsos deuda externa USD 116.5 millones;
• Exportaciones privadas USD 27.4 millones (ALADI);
• Depósitos Gobiernos Locales USD 24.7 millones;
• Depósitos Empresas Públicas no Financieras USD 14.2 millones;
• Emisión monetaria fraccionaria USD 0.5 millones, entre otros.
Estos ingresos se compensaron por los siguientes egresos: 
• Desacumulación neta de los depósitos del Gobierno Central USD 1,028.6 millones;
• Pagos por importaciones sector público USD 659.0 millones; 
• Servicio de la deuda externa e interna por USD 493.2 millones (amortización e intereses de la deuda externa e interna por USD 116.1 millones y USD 377.1 millones, respectivamente);
• Otros servicios y transferencias internacionales USD 195.9 millones;
• Retiro de depósitos del Sistema Financiero USD 191.2 millones, entre otros
</t>
  </si>
  <si>
    <t xml:space="preserve">En marzo de 2014, las reservas internacionales disminuyeron en USD 356.2 millones, lo que significó que el saldo en este mes registrara un valor de USD 3,976.3 millones (mientras que en febrero de 2014 fue USD 4,332.4 millones).
Los principales ingresos en este mes fueron: 
• Recaudación principales impuestos USD 916.8 millones (IVA USD 478.2 millones, a la renta USD 298.1 millones, arancelarios USD 93.9 millones, ICE USD 46.6 millones); 
• Exportaciones de petróleo y derivados USD 766.7 millones;
• Emisión Deuda Interna USD 418.4 millones;
• Depósitos del Sistema Financiero USD 154.9 millones;
• Exportaciones privadas USD 29.7 millones (ALADI);
• Desembolsos deuda externa USD 29.2 millones;
• Emisión monetaria fraccionaria USD 0.3 millones, entre otros.
Estos ingresos se compensaron por los siguientes egresos: 
• Desacumulación neta de los depósitos del Gobierno Central USD 1,007.2 millones;
• Pagos por importaciones sector público USD 811.2 millones; 
• Servicio de la deuda externa e interna por USD 328.1 millones (amortización e intereses de la deuda externa e interna por USD 302.7 millones y USD 25.4 millones, respectivamente);
• Retiro de depósitos de los Fondos de Seguridad Social USD 281.5 millones;
• Otros servicios y transferencias internacionales USD 188.3 millones;
• Retiro de depósitos Empresas Públicas no Financieras USD 32.4 millones;
• Retiro de depósitos Gobiernos Locales USD 23.4 millones, entre otros
</t>
  </si>
  <si>
    <t xml:space="preserve">En abril de 2014, las reservas internacionales disminuyeron en USD 407.4 millones, lo que significó que el saldo en este mes registrara un valor de USD 3,568.9 millones (mientras que en marzo de 2014 fue USD 3,976.3 millones).
Los principales ingresos en este mes fueron: 
• Recaudación principales impuestos USD 1,652.5 millones (a la renta USD 978.9 millones, IVA USD 520.7 millones, arancelarios USD 107.4 millones, ICE USD 45.5 millones); 
• Exportaciones de petróleo y derivados USD 984.2 millones;
• Emisión Deuda Interna USD 312.5 millones;
• Depósitos Empresas Públicas no Financieras USD 114.9 millones;
• Desembolsos deuda externa USD 99.4 millones;
• Exportaciones privadas USD 59.2 millones (ALADI);
• Depósitos de los Fondos de Seguridad Social USD 76.5 millones, entre otros
Estos ingresos se compensaron por los siguientes egresos: 
• Desacumulación neta de los depósitos del Gobierno Central USD 1,536.4 millones;
• Pagos por importaciones sector público USD 987.2 millones; 
• Retiros de depósitos del Sistema Financiero USD 569.3 millones;
• Servicio de la deuda externa e interna por USD 313.6 millones (amortización e intereses de la deuda externa e interna por USD 113.7 millones y USD 199.9 millones, respectivamente);
• Otros servicios y transferencias internacionales USD 221.0 millones;
• Retiro de depósitos Gobiernos Locales USD 78.7 millones
• Emisión monetaria fraccionaria USD 0.4 millones, entre otros.
</t>
  </si>
  <si>
    <t xml:space="preserve">En enero de 2014, las reservas internacionales disminuyeron en USD 177.8 millones, lo que significó que el saldo en este mes registrara un valor de USD 4,182.7 millones (mientras que en diciembre de 2013 fue USD 4,360.5 millones).
Los principales ingresos en este mes fueron: 
• Recaudación de los principales impuestos USD 1,255.2 millones (IVA USD 725.2 millones, a la renta USD 387.9 millones, arancelarios USD 80.4 millones; e, ICE USD 61.7millones); 
• Exportaciones de petróleo y derivados por USD 998.4 millones;
• Emisión Deuda Interna por USD 126.9 millones;
• Depósitos Gobiernos Locales por USD 125.4 millones, entre otros.
• Depósitos de los Fondos de Seguridad Social por USD 77.7 millones;
• Exportaciones privadas por USD 42.0 millones (ALADI);
• Depósitos Empresas Públicas no Financieras por USD 35.7 millones;
• Desembolsos deuda externa por USD 0.2 millones, entre otros.
Estos ingresos se compensaron por los siguientes egresos: 
• Desacumulación neta de los depósitos del Gobierno Central por USD 1,081.5 millones;
• Pagos por importaciones sector público por USD 925.5 millones; 
• Retiro de depósitos del Sistema Financiero por USD 530.8 millones;
• Otros servicios y transferencias internacionales por USD 218.2 millones;
• Servicio de la deuda externa e interna por USD 82.1 millones (amortización e intereses de la deuda externa e interna por USD 66.6 millones y USD 15.5 millones, respectivamente);
• Emisión monetaria fraccionaria por USD 1.2 millones, entre otros.
</t>
  </si>
  <si>
    <t xml:space="preserve">En mayo de 2014, las reservas internacionales aumentaron en USD 441.4 millones, lo que significó que el saldo en este mes registrara un valor de USD 4,010.3 millones (mientras que en abril de 2014 fue USD 3,568.9 millones).
Los principales ingresos en este mes fueron: 
• Recaudación principales impuestos USD 972.2 millones (IVA USD 531.4 millones, a la renta USD 270.3 millones, arancelarios USD 120.9 millones, ICE USD 49.6 millones); 
• Exportaciones de petróleo y derivados USD 866.4 millones;
• Desembolsos deuda externa USD 456.8 millones;
• Emisión Deuda Interna USD 373.3 millones;
• Depósitos del Sistema Financiero USD 254.4 millones;
• Depósitos de los Fondos de Seguridad Social USD 100.0 millones;
• Depósitos Gobiernos Locales USD 95.0 millones;
• Exportaciones privadas USD 48.1 millones (ALADI);
• Emisión monetaria fraccionaria 0.5 millones, entre otros.
Estos ingresos se compensaron por los siguientes egresos: 
• Desacumulación neta de los depósitos del Gobierno Central USD 1,364.8 millones;
• Pagos por importaciones sector público USD 668.1 millones; 
• Servicio de la deuda externa e interna por USD 336.0 millones (amortización e intereses de la deuda externa e interna por USD 126.3 millones y USD 209.7 millones, respectivamente);
• Otros servicios y transferencias internacionales USD 212.3 millones;
• Retiro de depósitos Empresas Públicas no Financieras USD 144.2 millones, entre otros.
</t>
  </si>
  <si>
    <t xml:space="preserve">En junio de 2014, las reservas internacionales aumentaron en USD 1,812.1 millones, lo que significó que el saldo en este mes registrara un valor de USD 5,822.4 millones (mientras que en mayo de 2014 fue USD 4,010.3 millones).
Los principales ingresos en este mes fueron: 
• Desembolsos deuda externa USD 2,070.1 millones;
• Exportaciones de petróleo y derivados USD 940.1 millones;
• Recaudación principales impuestos USD 917.0 millones (IVA USD 525.2 millones, a la renta USD 230.4 millones, arancelarios USD 111.6 millones, ICE USD 49.8 millones); 
• Emisión Deuda Interna USD 410.0 millones;
• Depósitos de los Fondos de Seguridad Social USD 222.2 millones;
• Depósitos del Sistema Financiero USD 220.6 millones;
• Depósitos Empresas Públicas no Financieras USD 183.4 millones;
• Depósitos Gobiernos Locales USD 183.3 millones;
• Exportaciones privadas USD 48.0 millones (ALADI);
• Emisión monetaria fraccionaria 0.1 millones, entre otros.
Estos ingresos se compensaron por los siguientes egresos: 
• Desacumulación neta de los depósitos del Gobierno Central USD 1,670.0 millones;
• Pagos por importaciones sector público USD 781.6 millones; 
• Servicio de la deuda externa e interna por USD 757.5 millones (amortización e intereses de la deuda externa e interna por USD 356.5 millones y USD 401.0 millones, respectivamente);
• Otros servicios y transferencias internacionales USD 173.5 millones, entre otros.
</t>
  </si>
  <si>
    <t xml:space="preserve">En julio de 2014, las reservas internacionales disminuyeron en USD 256.0 millones, lo que significó que el saldo en este mes registrara un valor de USD 5,557.4 millones (mientras que en junio de 2014 fue USD 5,822.4 millones).
Los principales ingresos en este mes fueron: 
• Exportaciones de petróleo y derivados USD 1,152.1 millones;
• Recaudación principales impuestos USD 1,085.3 millones (IVA USD 545.5 millones, a la renta USD 374.2 millones, arancelarios USD 113.9 millones, ICE USD 51.7 millones); 
• Emisión Deuda Interna USD 164.8 millones;
• Depósitos de los Fondos de Seguridad Social USD 113.3 millones;
• Desembolsos deuda externa USD 109.8 millones;
• Exportaciones privadas USD 36.0 millones (ALADI);
• Depósitos Empresas Públicas no Financieras USD 22.8 millones;
• Emisión monetaria fraccionaria 0.01 millones, entre otros.
Estos ingresos se compensaron por los siguientes egresos: 
• Desacumulación neta de los depósitos del Gobierno Central USD 1,428.7 millones;
• Pagos por importaciones sector público USD 743.3 millones; 
• Servicio de la deuda externa e interna por USD 383.1 millones (amortización e intereses de la deuda externa e interna por USD 63.6 millones y USD 319.5 millones, respectivamente);
• Retiro de depósitos del Sistema Financiero USD 214.5 millones;
• Otros servicios y transferencias internacionales USD 157.8 millones; 
• Retiro de depósitos Gobiernos Locales USD 21.8 millones; entre otros.
</t>
  </si>
  <si>
    <t xml:space="preserve">En agosto de 2014, las reservas internacionales aumentaron en USD 613.8 millones, lo que significó que el saldo en este mes registrara un valor de USD 6,171.2 millones (mientras que en julio de 2014 fue USD 5,557.4  millones).
Los principales ingresos en este mes fueron: 
• Exportaciones de petróleo y derivados USD 906.4 millones;
• Recaudación principales impuestos USD 951.6 millones (IVA USD 538.2 millones, a la renta USD 239.9 millones, arancelarios USD 121.4 millones, ICE USD 52.1 millones); 
• Depósitos del Sistema Financiero USD 341.4 millones;
• Emisión Deuda Interna USD 145.7 millones;
• Desembolsos deuda externa USD 195.8 millones;
• Exportaciones privadas USD 33.2 millones (ALADI);
• Depósitos Empresas Públicas no Financieras USD 328.0 millones;
• Depósitos Gobiernos Locales USD 65.2 millones; entre otros.
Estos ingresos se compensaron por los siguientes egresos: 
• Desacumulación neta de los depósitos del Gobierno Central USD 1,092.7 millones;
• Pagos por importaciones sector público USD 727.0 millones; 
• Servicio de la deuda externa e interna por USD 238.7 millones (amortización e intereses de la deuda externa e interna por USD 119.5 millones y USD 119.2 millones, respectivamente);
• Otros servicios y transferencias internacionales USD 167.9 millones; 
• Retiro de depósitos de los Fondos de Seguridad Social USD 126.8 millones;
• Emisión monetaria fraccionaria 0.3 millones, entre otros.
</t>
  </si>
  <si>
    <t xml:space="preserve">En septiembre de 2014, las reservas internacionales aumentaron en USD 518.0 millones, lo que significó que el saldo en este mes registrara un valor de USD 6,689.2 millones (mientras que en agosto de 2014 fue USD 6,171.2 millones).
Los principales ingresos en este mes fueron: 
• Exportaciones de petróleo y derivados USD 979.4 millones;
• Desembolsos de deuda externa USD 788.8 millones;
• Recaudación de los principales impuestos USD 1,107.1 millones (IVA USD 549.2 millones, a la renta USD 380.1 millones, arancelarios USD 124.3 millones, ICE USD 53.5 millones); 
• Emisión de Deuda Interna USD 133.3 millones;
• Depósitos de los Fondos de Seguridad Social USD 113.9 millones;
• Depósitos de los Gobiernos Locales USD 38.8 millones; 
• Exportaciones privadas USD 33.9 millones (ALADI);
• Depósitos Empresas Públicas no Financieras USD 23.7 millones; 
• Emisión monetaria fraccionaria 0.8 millones, entre otros.
Estos ingresos se compensaron por los siguientes egresos: 
• Pagos por importaciones sector público USD 842.8 millones; 
• Desacumulación neta de los depósitos del Gobierno Central USD 662.5 millones;
• Otros servicios y transferencias internacionales USD 471.2 millones; 
• Servicio de la deuda externa e interna por USD 400 millones (amortización e intereses de la deuda externa e interna por USD 339.3 millones y USD 60.7 millones, respectivamente);
• Retiro de depósitos del Sistema Financiero USD 325.3 millones, entre otros.
</t>
  </si>
  <si>
    <t>Reservas Internacionales</t>
  </si>
  <si>
    <t xml:space="preserve">En octubre de 2014, las reservas internacionales disminuyeron en USD 686.7 millones, lo que significó que el saldo en este mes registrara un valor de USD 6,002.6 millones (mientras que en septiembre de 2014 fue USD 6,689.2 millones).
Los principales ingresos en este mes fueron: 
• Recaudación de los principales impuestos USD 1,024.5 millones (IVA USD 573.6 millones, a la renta USD 266.8 millones, arancelarios USD 126.7 millones, ICE USD 57.4 millones); 
• Exportaciones de petróleo y derivados USD 742.4 millones;
• Emisión de Deuda Interna USD 402.4 millones;
• Depósitos del Sistema Financiero USD 155.9 millones;
• Exportaciones privadas USD 49.2 millones (ALADI);
• Depósitos de los Gobiernos Locales USD 39.3 millones; 
• Desembolsos de deuda externa USD 36.7 millones;
• Depósitos de los Fondos de Seguridad Social USD 3.8 millones;
• Emisión monetaria fraccionaria 0.04 millones, entre otros.
Estos ingresos se compensaron por los siguientes egresos: 
• Desacumulación neta de los depósitos del Gobierno Central USD 1,862.6 millones;
• Pagos por importaciones sector público USD 823.6 millones; 
• Servicio de la deuda externa e interna por USD 232.6 millones (amortización e intereses de la deuda externa e interna por USD 106.3 millones y USD 126.3 millones, respectivamente);
• Otros servicios y transferencias internacionales USD 180.0 millones; 
• Retiro de depósitos Empresas Públicas no Financieras USD 42.1 millones, entre otros.
</t>
  </si>
  <si>
    <t xml:space="preserve">En noviembre de 2014, las reservas internacionales disminuyeron en USD 139.3 millones, lo que significó que el saldo en este mes registrara un valor de USD 5,863.3 millones (mientras que en octubre de 2014 fue USD 6,002.6 millones).
Los principales ingresos en este mes fueron: 
• Recaudación de los principales impuestos USD 977.8 millones (IVA USD 560.0 millones, a la renta USD 239.1 millones, arancelarios USD 128.6 millones, ICE USD 50.1 millones); 
• Exportaciones de petróleo y derivados USD 923.0 millones;
• Emisión de Deuda Interna USD 296.7 millones;
• Depósitos del Sistema Financiero USD 189.8 millones;
• Desembolsos de deuda externa USD 176.1 millones;
• Depósitos de las Empresas Públicas no Financieras USD 122.3 millones;
• Depósitos de los Gobiernos Locales USD 77.6 millones; 
• Exportaciones privadas USD 32.7 millones (ALADI);
• Emisión monetaria fraccionaria 0.5 millones, entre otros.
Estos ingresos se compensaron por los siguientes egresos: 
• Desacumulación neta de los depósitos del Gobierno Central USD 1,835.3 millones;
• Pagos por importaciones sector público USD 665.7 millones; 
• Servicio de la deuda externa e interna por USD 176.5 millones (amortización e intereses de la deuda externa e interna por USD 45.9 millones y USD 130.6 millones, respectivamente);
• Otros servicios y transferencias internacionales USD 156.9 millones; 
• Retiro de depósitos de los Fondos de Seguridad Social USD 101.3 millones, entre otros.
</t>
  </si>
  <si>
    <t xml:space="preserve">En diciembre de 2014, las reservas internacionales disminuyeron en USD 1,914.2 millones, lo que significó que el saldo en este mes registrara un valor de USD 3,949.1 millones (mientras que en noviembre de 2014 fue USD 5,863.3 millones).
Los principales ingresos en este mes fueron: 
• Emisión de Deuda Interna USD 1,082.7 millones;
• Recaudación de los principales impuestos USD 1,001.6 millones (IVA USD 572.4 millones, a la renta USD 243.2 millones, arancelarios USD 131.7 millones, ICE USD 54.3 millones); 
• Exportaciones de petróleo y derivados USD 515.5 millones;
• Desembolsos de deuda externa USD 316.3 millones;
• Exportaciones privadas USD 38.4 millones (ALADI);
• Depósitos del Sistema Financiero USD 4.7 millones, entre otros.
Estos ingresos se compensaron por los siguientes egresos: 
• Desacumulación neta de los depósitos del Gobierno Central USD 1,910.8 millones;
• Pagos por importaciones sector público USD 941.1 millones; 
• Servicio de la deuda externa e interna por USD 878.1 millones (amortización e intereses de la deuda externa e interna por USD 402.3 millones y USD 475.8 millones, respectivamente);
• Retiro de depósitos de las Empresas Públicas no Financieras USD 464.5 millones;
• Otros servicios y transferencias internacionales USD 276.7 millones; 
• Retiro de depósitos de los Fondos de Seguridad Social USD 223.7 millones;
• Depósitos de los Gobiernos Locales USD 176.9 millones; 
• Emisión monetaria fraccionaria 1.5 millones, entre otros.
</t>
  </si>
  <si>
    <t xml:space="preserve">En enero de 2015, las reservas internacionales disminuyeron en USD 294.4 millones, lo que significó que el saldo en este mes registrara un valor de USD 3,654.7 millones (mientras que en diciembre de 2014 fue USD 3,949.1 millones).
Los principales ingresos en este mes fueron: 
• Recaudación de los principales impuestos USD 1,328.3 millones (IVA USD 708.8 millones, a la renta USD 410.6 millones, arancelarios USD 141.8 millones, ICE USD 67.1 millones); 
• Emisión de Deuda Interna USD 161.7 millones;
• Exportaciones de petróleo y derivados USD 331.6 millones;
• Depósitos de los Fondos de Seguridad Social USD 127.8 millones;
• Desembolsos de deuda externa USD 83.7 millones;
• Exportaciones privadas USD 21.4 millones (ALADI);
• Depósitos de los Gobiernos Locales USD 18.5 millones; 
• Emisión monetaria fraccionaria 0.8 millones, entre otros.
Estos ingresos se compensaron por los siguientes egresos: 
• Pagos por importaciones sector público USD 885.2 millones; 
• Retiro de depósitos del Sistema Financiero USD 737.2 millones;
• Desacumulación neta de los depósitos del Gobierno Central USD 408.8 millones;
• Otros servicios y transferencias internacionales USD 197.4 millones; 
• Servicio de la deuda externa e interna por USD 108.9 millones (amortización e intereses de la deuda externa e interna por USD 37.2 millones y USD 71.7 millones, respectivamente);
• Retiro de depósitos de las Empresas Públicas no Financieras USD 30.6 millones, entre otros.
</t>
  </si>
  <si>
    <t xml:space="preserve">En febrero de 2015, las reservas internacionales aumentaron en USD 62.4 millones, lo que significó que el saldo en este mes registrara un valor de USD 3,717.3 millones (mientras que en enero de 2015 fue USD 3,654.7 millones).
Los principales ingresos fueron: 
• Desembolsos de deuda externa USD 862.0 millones;
• Recaudación de los principales impuestos USD 824.4 millones (IVA USD 489.8 millones, a la renta USD 172.2 millones, arancelarios USD 119.9 millones, ICE USD 42.5 millones); 
• Emisión de Deuda Interna USD 522.8 millones;
• Exportaciones de petróleo y derivados USD 335.1 millones;
• Depósitos de los Gobiernos Locales USD 167.3 millones; 
• Depósitos de las Empresas Públicas no Financieras USD 163.0 millones;
• Depósitos de los Fondos de Seguridad Social USD 60.8 millones;
• Exportaciones privadas USD 15.5 millones (ALADI), entre otros.
Estos ingresos se compensaron por los siguientes egresos: 
• Desacumulación neta de los depósitos del Gobierno Central USD 1,172.6 millones;
• Pagos por importaciones sector público USD 728.3 millones; 
• Servicio de la deuda externa e interna por USD 695.0 millones (amortización e intereses de la deuda externa e interna por USD 51.4 millones y USD 643.6 millones, respectivamente);
• Otros servicios y transferencias internacionales USD 150.6 millones; 
• Retiro de depósitos del Sistema Financiero USD 141.5 millones;
• Emisión monetaria fraccionaria 0.3 millones, entre otros.
</t>
  </si>
  <si>
    <t xml:space="preserve">En marzo de 2015, las reservas internacionales disminuyeron en USD 49.6 millones, lo que significó que el saldo en este mes registrara un valor de USD 3,667.7 millones (mientras que en febrero de 2015 fue USD 3,717.3 millones).
Los principales ingresos en este mes fueron: 
• Recaudación de los principales impuestos USD 1,142.5 millones (IVA USD 612.1 millones, a la renta USD 332.3 millones, arancelarios USD 142.1 millones, ICE USD 55.9 millones); 
• Desembolsos de deuda externa USD 774.0 millones;
• Emisión de Deuda Interna USD 762.8 millones;
• Exportaciones de petróleo y derivados USD 366.1 millones;
• Depósitos del Sistema Financiero USD 319.1 millones;
• Exportaciones privadas USD 37.6 millones (ALADI), entre otros.
Estos ingresos se compensaron por los siguientes egresos: 
• Desacumulación neta de los depósitos del Gobierno Central USD 1,363.9 millones;
• Servicio de la deuda externa e interna por USD 1,154.8 millones (amortización e intereses de la deuda externa e interna por USD 392.1 millones y USD 762.7 millones, respectivamente);
• Pagos por importaciones sector público USD 496.8 millones; 
• Retiro de depósitos de los Gobiernos Locales USD 207.9 millones; 
• Otros servicios y transferencias internacionales USD 193.0 millones; 
• Retiro de depósitos de los Fondos de Seguridad Social USD 17.3 millones;
• Retiro de depósitos de las Empresas Públicas no Financieras USD 17.0 millones;
• Emisión monetaria fraccionaria USD 1.0 millones, entre otros.
</t>
  </si>
  <si>
    <t xml:space="preserve">En abril de 2015, las reservas internacionales disminuyeron en USD 227.8 millones, lo que significó que el saldo en este mes registrara un valor de USD 3,439.9 millones (mientras que en marzo de 2015 fue USD 3,667.7 millones).
Los principales ingresos en este mes fueron: 
• Recaudación de los principales impuestos USD 1,778.8 millones (a la renta USD 991.4 millones, IVA USD 565.9 millones, arancelarios USD 166.1 millones, ICE USD 55.4 millones); 
• Exportaciones de petróleo y derivados USD 348.8 millones;
• Emisión de Deuda Interna USD 314.3 millones;
• Depósitos de los Gobiernos Locales USD 159.3 millones; 
• Desembolsos de deuda externa USD 69.5 millones;
• Exportaciones privadas USD 27.0 millones (ALADI);
• Depósitos de los Fondos de Seguridad Social USD 9.8 millones;
• Emisión monetaria fraccionaria USD 0.1 millones, entre otros.
Estos ingresos se compensaron por los siguientes egresos: 
• Desacumulación neta de los depósitos del Gobierno Central USD 1,227.6 millones;
• Servicio de la deuda externa e interna por USD 626.7 millones (amortización e intereses de la deuda externa e interna por USD 109.3 millones y USD 517.4 millones, respectivamente);
• Retiro de depósitos del Sistema Financiera USD 582.1 millones;
• Pagos por importaciones sector público USD 348.3 millones; 
• Otros servicios y transferencias internacionales USD 96.7 millones; 
• Retiro de depósitos de las Empresas Públicas no Financieras USD 54.0 millones, entre otros.
</t>
  </si>
  <si>
    <t xml:space="preserve">En mayo de 2015, las reservas internacionales aumentaron en USD 1,127.5 millones, lo que significó que el saldo en este mes registrara un valor de USD 4,567.5 millones (mientras que en abril de 2015 fue USD 3,439.9 millones).
Los principales ingresos en este mes fueron: 
• Recaudación de los principales impuestos USD 1,054.1 millones (IVA USD 495.0 millones, a la renta USD 314.8 millones, arancelarios USD 191.6 millones, ICE USD 52.7 millones); 
• Desembolsos de deuda externa USD 774.5 millones;
• Depósitos del Sistema Financiero USD 536.8 millones;
• Exportaciones de petróleo y derivados USD 449.1 millones;
• Emisión de Deuda Interna USD 194.0 millones;
• Depósitos de los Gobiernos Locales USD 65.9 millones; 
• Depósitos de las Empresas Públicas no Financieras USD 62.6 millones;
• Exportaciones privadas USD 30.1 millones (ALADI);
• Depósitos de los Fondos de Seguridad Social USD 12.0 millones;
• Emisión monetaria fraccionaria USD 0.7 millones, entre otros.
Estos ingresos se compensaron por los siguientes egresos: 
• Desacumulación neta de los depósitos del Gobierno Central USD 1,311.9 millones;
• Pagos por importaciones sector público USD 397.6 millones; 
• Servicio de la deuda externa e interna por USD 177.8 millones (amortización e intereses de la deuda externa e interna por USD 57.0 millones y USD 120.8 millones), respectivamente;
• Otros servicios y transferencias internacionales USD 165.0 millones, entre otros.
</t>
  </si>
  <si>
    <t xml:space="preserve">En junio de 2015, las reservas internacionales aumentaron en USD 171.7 millones, lo que significó que el saldo en este mes registrara un valor de USD 4,739.2 millones (mientras que en mayo de 2015 fue USD 4,567.5 millones).
Los principales ingresos en este mes fueron: 
• Recaudación de los principales impuestos USD 1,056.6 millones (IVA USD 481.0 millones, a la renta USD 317.9 millones, arancelarios USD 191.3 millones, ICE USD 66.4 millones); 
• Exportaciones de petróleo y derivados USD 478.4 millones;
• Desembolsos de deuda externa USD 153.3 millones;
• Depósitos del Sistema Financiero USD 62.1 millones;
• Emisión de Deuda Interna USD 32.6 millones;
• Depósitos de los Gobiernos Locales USD 32.5 millones; 
• Exportaciones privadas USD 8.4 millones (ALADI), entre otros.
Estos ingresos se compensaron por los siguientes egresos: 
• Servicio de la deuda externa e interna por USD 773.8 millones (amortización e intereses de la deuda externa e interna por USD 487.2 millones y USD 286.6 millones), respectivamente;
• Pagos por importaciones sector público USD 432.5 millones; 
• Desacumulación neta de los depósitos del Gobierno Central USD 189.4 millones;
• Retiro de depósitos de los Fondos de Seguridad Social USD 131.3 millones;
• Otros servicios y transferencias internacionales USD 121.0 millones;
• Retiro de depósitos de las Empresas Públicas no Financieras USD 4.3 millones;
• Emisión monetaria fraccionaria USD 0.1 millones, entre otros.
</t>
  </si>
  <si>
    <t xml:space="preserve">En julio de 2015, las reservas internacionales aumentaron en USD 32.8 millones, lo que significó que el saldo en este mes registrara un valor de USD 4,772.0 millones (mientras que en junio de 2015 fue USD 4,739.2 millones).
Los principales ingresos en este mes fueron: 
• Recaudación de los principales impuestos USD 1,724.0 millones (a la renta USD 876.5 millones, IVA USD 544.6 millones, arancelarios USD 194.0 millones, ICE USD 108.9 millones); 
• Exportaciones de petróleo y derivados USD 513.1 millones;
• Desembolsos de deuda externa USD 327.8 millones;
• Exportaciones privadas USD 17.0 millones (ALADI);
• Emisión de Deuda Interna USD 3.8 millones;
• Depósitos de los Gobiernos Locales USD 2.0 millones, entre otros 
Estos ingresos se compensaron por los siguientes egresos: 
• Desacumulación neta de los depósitos del Gobierno Central USD 1,635.2 millones;
• Pagos por importaciones sector público USD 406.9 millones; 
• Depósitos del Sistema Financiero USD 133.2 millones;
• Otros servicios y transferencias internacionales USD 130.1 millones;
• Servicio de la deuda externa e interna por USD 128.2 millones (amortización e intereses de la deuda externa e interna por USD 34.7 millones y USD 93.5 millones), respectivamente;
• Retiro de depósitos de las Empresas Públicas no Financieras USD 78.7 millones;
• Retiro de depósitos de los Fondos de Seguridad Social USD 42.3 millones;
• Emisión monetaria fraccionaria USD 0.3 millones, entre otros.
</t>
  </si>
  <si>
    <t xml:space="preserve">En agosto de 2015, las reservas internacionales disminuyeron en USD 570.6 millones, lo que significó que el saldo en este mes registrara un valor de USD 4,201.4 millones (mientras que en julio de 2015 fue USD 4,772.0 millones).
Los principales ingresos en este mes fueron: 
• Recaudación de los principales impuestos USD 961.6 millones (IVA USD 501.2 millones, a la renta USD 229.1 millones, arancelarios USD 178.1 millones, ICE USD 53.2 millones); 
• Exportaciones de petróleo y derivados USD 327.7 millones;
• Depósitos de los Empresas Públicas no Financieras USD 44.1 millones;
• Desembolsos de deuda externa USD 19.4 millones;
• Exportaciones privadas USD 12.9 millones (ALADI);
• Emisión de Deuda Interna USD 4.9 millones, entre otros
Estos ingresos se compensaron por los siguientes egresos: 
• Desacumulación neta de los depósitos del Gobierno Central USD 1,096.0 millones;
• Pagos por importaciones sector público USD 354.6 millones; 
• Depósitos del Sistema Financiero USD 196.4 millones;
• Otros servicios y transferencias internacionales USD 102.3 millones;
• Servicio de la deuda externa e interna por USD 157.2 millones (amortización e intereses de la deuda externa e interna por USD 50.1 millones y USD 107.1 millones), respectivamente;
• Retiro de depósitos de las Gobiernos Locales USD 7.6 millones;
• Retiro de depósitos de los Fondos de Seguridad Social USD 26.6 millones;
• Emisión monetaria fraccionaria USD 0.4 millones, entre otros.
</t>
  </si>
  <si>
    <t xml:space="preserve">En septiembre de 2015, las reservas internacionales disminuyeron en USD 689.8 millones, lo que significó que el saldo en este mes registrara un valor de USD 3,511.6 millones (mientras que en agosto de 2015 fue USD 4,201.4 millones).
Los principales ingresos en este mes fueron: 
• Recaudación de los principales impuestos USD 1,087.1 millones (IVA USD 497.9 millones, a la renta USD 350.2 millones, arancelarios USD 187.8 millones, ICE USD 51.2 millones); 
• Exportaciones de petróleo y derivados USD 291.0 millones;
• Desembolsos de deuda externa USD 115.7 millones;
• Depósitos de los Fondos de Seguridad Social USD 43.7 millones;
• Exportaciones privadas USD 34.0 millones (ALADI);
• Emisión monetaria fraccionaria USD 1.0 millones;
• Emisión de Deuda Interna USD 0.7 millones, entre otros. 
Estos ingresos se compensaron por los siguientes egresos: 
• Desacumulación neta de los depósitos del Gobierno Central USD 615.7 millones;
• Servicio de la deuda externa e interna por USD 567.5 millones (amortización e intereses de la deuda externa e interna por USD 455.8 millones y USD 111.7 millones), respectivamente;
• Pagos por importaciones sector público USD 421.6 millones; 
• Retiro de depósitos de las Gobiernos Locales USD 275.4 millones;
• Retiro de depósitos del Sistema Financiero USD 162.5 millones;
• Otros servicios y transferencias internacionales USD 144.3 millones;
• Retiro de depósitos de los Empresas Públicas no Financieras USD 75.9 millones, entre otros.
</t>
  </si>
  <si>
    <t xml:space="preserve">En octubre de 2015, las reservas internacionales disminuyeron en USD 203.2 millones, lo que significó que el saldo en este mes registrara un valor de USD 3,308.4 millones (mientras que en septiembre de 2015 fue USD 3,511.6 millones).
Los principales ingresos en este mes fueron: 
• Recaudación de los principales impuestos USD 942.4 millones (IVA USD 487.0 millones, a la renta USD 226.5 millones, arancelarios USD 175.5 millones, ICE USD 53.4 millones); 
• Depósitos del Sistema Financiero USD 261.5 millones;
• Exportaciones de petróleo y derivados USD 225.0 millones;
• Exportaciones privadas USD 36.8 millones (ALADI);
• Desembolsos de deuda externa USD 30.6 millones;
• Emisión de Deuda Interna USD 0.9 millones, entre otros. 
Estos ingresos se compensaron por los siguientes egresos: 
• Desacumulación neta de los depósitos del Gobierno Central USD 866.4 millones;
• Pagos por importaciones sector público USD 311.8 millones; 
• Servicio de la deuda externa e interna por USD 219.9 millones (amortización e intereses de la deuda externa e interna por USD 109.9 millones y USD 110.0 millones), respectivamente;
• Otros servicios y transferencias internacionales USD 96.4 millones;
• Retiro de depósitos de los Fondos de la Seguridad Social USD 87.3 millones;
• Retiro de depósitos de los Empresas Públicas no Financieras USD 69.6 millones;
• Retiro de depósitos de las Gobiernos Locales USD 48.7 millones;
• Emisión monetaria fraccionaria USD 0.4 millones, entre otros.
</t>
  </si>
  <si>
    <t xml:space="preserve">En noviembre de 2015, las reservas internacionales disminuyeron en USD 182.0 millones, lo que significó que el saldo en este mes registrara un valor de USD 3,126.3 millones (mientras que en octubre de 2015 fue USD 3,308.4 millones).
Los principales ingresos en este mes fueron: 
• Recaudación de los principales impuestos USD 928.8 millones (IVA USD 485.6 millones, a la renta USD 221.7 millones, arancelarios USD 168.5 millones, ICE USD 53.0 millones); 
• Emisión de Deuda Interna USD 589.0 millones; 
• Desembolsos de deuda externa USD 211.5 millones;
• Exportaciones de petróleo y derivados USD 187.6 millones;
• Depósitos de los Fondos de la Seguridad Social USD 94.4 millones;
• Depósitos del Sistema Financiero USD 63.2 millones;
• Exportaciones privadas USD 35.5 millones (ALADI), entre otros.
Estos ingresos se compensaron por los siguientes egresos: 
• Desacumulación neta de los depósitos del Gobierno Central USD 1,296.6 millones;
• Servicio de la deuda externa e interna por USD 450.7 millones (amortización e intereses de la deuda externa e interna por USD 58.5 millones y USD 392.2 millones), respectivamente;
• Pagos por importaciones sector público USD 364.9 millones; 
• Otros servicios y transferencias internacionales USD 86.2 millones;
• Retiro de depósitos de los Empresas Públicas no Financieras USD 65.8 millones;
• Retiro de depósitos de las Gobiernos Locales USD 27.5 millones;
• Emisión monetaria fraccionaria USD 0.4 millones, entre otros.
</t>
  </si>
  <si>
    <t xml:space="preserve">En diciembre de 2015, las reservas internacionales disminuyeron en USD 630.4 millones, lo que significó que el saldo en este mes registrara un valor de USD 2,496.0 millones (mientras que en noviembre de 2015 fue USD 3,126.3 millones).
Los principales ingresos en este mes fueron: 
• Emisión de Deuda Interna USD 1,387.5 millones; 
• Recaudación de los principales impuestos USD 923.6 millones (IVA USD 470.1 millones, a la renta USD 239.6 millones, arancelarios USD 163.4 millones, ICE USD 50.5 millones); 
• Desembolsos de deuda externa USD 599.3 millones;
• Depósitos del Sistema Financiero USD 233.2 millones;
• Exportaciones de petróleo y derivados USD 176.1 millones;
• Títulos de Banco Central TBC USD 81.7 millones;
• Exportaciones privadas USD 31.6 millones (ALADI), entre otros.
Estos ingresos se compensaron por los siguientes egresos: 
• Servicio de la deuda externa e interna por USD 2,501.5 millones (amortización e intereses de la deuda externa e interna por USD 1,212.8 millones y USD 1,288.7 millones), respectivamente;
• Desacumulación neta de los depósitos del Gobierno Central USD 369.1 millones;
• Pagos por importaciones sector público USD 346.7 millones; 
• Retiro de depósitos de los Gobiernos Locales USD 288.3 millones;
• Otros servicios y transferencias internacionales USD 216.7 millones;
• Retiro de depósitos de las Empresas Públicas no Financieras USD 195.2 millones;
• Retiro de depósitos de los Fondos de la Seguridad Social USD 145.7 millones;
• Emisión monetaria fraccionaria USD 0.2 millones, entre otros.
</t>
  </si>
  <si>
    <t xml:space="preserve">En enero de 2016, las reservas internacionales aumentaron en USD 711.4 millones, lo que significó que el saldo en este mes registrara un valor de USD 3,207.4 millones (mientras que en diciembre de 2015 fue USD 2,496.0 millones).
Los principales ingresos en este mes fueron: 
• Recaudación de los principales impuestos USD 1,046.5 millones (IVA USD 543.2 millones, a la renta USD 300.4 millones, arancelarios USD 137.0 millones, ICE USD 65.9 millones); 
• Depósitos del Sistema Financiero USD 701.5 millones;
• Emisión de Deuda Interna USD 651.8 millones; 
• Exportaciones de petróleo y derivados USD 259.1 millones;
• Depósitos de los Fondos de la Seguridad Social USD 151.9 millones;
• Desembolsos de deuda externa USD 151.2 millones;
• Títulos de Banco Central TBC USD 117.4 millones;
• Depósitos de las Gobiernos Locales USD 101.6 millones;
• Depósitos de los Empresas Públicas no Financieras USD 57.7 millones;
• Exportaciones privadas USD 20.1 millones (ALADI), entre otros.
Estos ingresos se compensaron por los siguientes egresos: 
• Desacumulación neta de los depósitos del Gobierno Central USD 1,567.4 millones;
• Servicio de la deuda externa e interna por USD 393.0 millones (amortización e intereses de la deuda externa e interna por USD 46.2 millones y USD 346.8 millones), respectivamente;
• Otros servicios y transferencias internacionales USD 301.1 millones;
• Pagos por importaciones sector público USD 284.5 millones; 
• Emisión monetaria fraccionaria USD 1.4 millones, entre otros.
</t>
  </si>
  <si>
    <t xml:space="preserve">En febrero de 2016, las reservas internacionales aumentaron en USD 134.3  millones, lo que significó que el saldo en este mes registrara un valor de USD 3,341.6 millones (mientras que en enero de 2016 fue USD 3,207.4 millones).
Los principales ingresos en este mes fueron: 
• Desembolsos de deuda externa USD 848.4 millones;
• Recaudación de los principales impuestos USD 692.1 millones (IVA USD 372.2 millones, a la renta USD 169.0 millones, arancelarios USD 116.2 millones, ICE USD 34.7 millones); 
• Emisión de Deuda Interna USD 347.4 millones; 
• Depósitos del Sistema Financiero USD 154.8 millones;
• Exportaciones de petróleo y derivados USD 114.1 millones;
• Depósitos de las Gobiernos Locales USD 109.9 millones;
• Depósitos de los Fondos de la Seguridad Social USD 28.4 millones;
• Exportaciones privadas USD 7.6 millones (ALADI), entre otros.
Estos ingresos se compensaron por los siguientes egresos: 
• Desacumulación neta de los depósitos del Gobierno Central USD 1,023.1 millones;
• Pagos por importaciones sector público USD 437.8 millones; 
• Otros servicios y transferencias internacionales USD 365.1 millones;
• Servicio de la deuda externa e interna por USD 234.9 millones (amortización e intereses de la deuda externa e interna por USD 46.4 millones y USD 188.5 millones), respectivamente;
• Títulos de Banco Central TBC USD 75.1 millones;
• Depósitos de los Empresas Públicas no Financieras USD 31.5 millones;
• Emisión monetaria fraccionaria USD 0.9 millones, entre otros.
</t>
  </si>
  <si>
    <t xml:space="preserve">En marzo de 2016, las reservas internacionales disminuyeron en USD 768.6 millones, lo que significó que el saldo en este mes registrara un valor de USD 2,573.1 millones (mientras que en febrero de 2016 fue USD 3,341.6 millones).
Los principales ingresos en este mes fueron: 
• Emisión de Deuda Interna USD 965.8 millones; 
• Recaudación de los principales impuestos USD 866.8 millones (IVA USD 388.0 millones, a la renta USD 318.7 millones, arancelarios USD 124.6 millones, ICE USD 35.5 millones); 
• Exportaciones de petróleo y derivados USD 124.2 millones;
• Depósitos del Sistema Financiero USD 61.5 millones;
• Desembolsos de deuda externa USD 30.0 millones;
• Títulos de Banco Central TBC USD 20.1 millones;
• Exportaciones privadas USD 5.0 millones (ALADI), entre otros.
Estos ingresos se compensaron por los siguientes egresos: 
• Desacumulación neta de los depósitos del Gobierno Central USD 1,078.6 millones;
• Servicio de la deuda externa e interna por USD 761.3 millones (amortización e intereses de la deuda externa e interna por USD 535.7 millones y USD 225.6 millones), respectivamente;
• Depósitos de los Fondos de la Seguridad Social USD 404.5 millones;
• Otros servicios y transferencias internacionales USD 261.1 millones;
• Pagos por importaciones sector público USD 224.7 millones; 
• Depósitos de las Gobiernos Locales USD 74.2 millones;
• Depósitos de los Empresas Públicas no Financieras USD 37.0 millones;
• Emisión monetaria fraccionaria USD 0.6 millones, entre otros.
</t>
  </si>
  <si>
    <t xml:space="preserve">En abril de 2016, las reservas internacionales disminuyeron en USD 88.0 millones, lo que significó que el saldo en este mes registrara un valor de USD 2,485.0 millones (mientras que en marzo de 2016 fue USD 2,573.1 millones).
Los principales ingresos en este mes fueron: 
• Recaudación de los principales impuestos USD 1,209.8 millones (a la renta USD 664.2 millones, IVA USD 379.3 millones, arancelarios USD 120.9 millones, ICE USD 45.4 millones); 
• Emisión de Deuda Interna USD 312.5 millones; 
• Exportaciones de petróleo y derivados USD 207.6 millones;
• Desembolsos de deuda externa USD 202.4 millones;
• Depósitos de los Fondos de la Seguridad Social USD 159.5 millones;
• Depósitos de los Empresas Públicas no Financieras USD 60.1 millones;
• Depósitos de las Gobiernos Locales USD 36.3 millones;
• Exportaciones privadas USD 10.1 millones (ALADI), entre otros.
• Emisión monetaria fraccionaria USD 0.6 millones, entre otros.
Estos ingresos se compensaron por los siguientes egresos: 
• Servicio de la deuda externa e interna por USD 1,474.5 millones (amortización e intereses de la deuda externa e interna por USD 113.0 millones y USD 1,361.5 millones), respectivamente;
• Pagos por importaciones sector público USD 216.0 millones; 
• Depósitos del Sistema Financiero USD 215.2 millones;
• Otros servicios y transferencias internacionales USD 175.1 millones;
• Desacumulación neta de los depósitos del Gobierno Central USD 148.8 millones;
• Títulos de Banco Central TBC USD 57.5 millones, entre otros.
</t>
  </si>
  <si>
    <t>1. Posición neta en divisas</t>
  </si>
  <si>
    <t xml:space="preserve">  1.1 Caja en divisas</t>
  </si>
  <si>
    <t xml:space="preserve">  1.2 Depósitos netos en Bcos. e Inst. financieras del exterior 1/.</t>
  </si>
  <si>
    <t xml:space="preserve">        Depósitos en Bcos. e Inst. financieras del exterior</t>
  </si>
  <si>
    <t xml:space="preserve">        Pasivos de corto plazo (swaps)</t>
  </si>
  <si>
    <t xml:space="preserve">  1.3 Inversiones dep. plazo y títulos</t>
  </si>
  <si>
    <t xml:space="preserve">2. Oro </t>
  </si>
  <si>
    <t>3. DEGs</t>
  </si>
  <si>
    <t>4. Posición de reserva en FMI</t>
  </si>
  <si>
    <t>5. Posición con ALADI</t>
  </si>
  <si>
    <t>6. Posición SUCRE</t>
  </si>
  <si>
    <t xml:space="preserve">TOTAL RESERVAS INTERNACIONALES </t>
  </si>
  <si>
    <t xml:space="preserve"> </t>
  </si>
  <si>
    <t>Reserva</t>
  </si>
  <si>
    <t>Monetaria</t>
  </si>
  <si>
    <t>Internacional</t>
  </si>
  <si>
    <t xml:space="preserve">    Fecha</t>
  </si>
  <si>
    <t>Libre Disponibilidad</t>
  </si>
  <si>
    <t>RMI</t>
  </si>
  <si>
    <t xml:space="preserve"> RILD</t>
  </si>
  <si>
    <t>Saldo en Millones de Dólares</t>
  </si>
  <si>
    <t xml:space="preserve">Desde enero </t>
  </si>
  <si>
    <t>30/09/2014 (3)</t>
  </si>
  <si>
    <t>31/01/2000 (2)</t>
  </si>
  <si>
    <t>Período</t>
  </si>
  <si>
    <t>Reservas Internacionales (Millones de dólares)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</si>
</sst>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6" formatCode="0.0"/>
    <numFmt numFmtId="167" formatCode="dd\-mmm\-yyyy"/>
    <numFmt numFmtId="168" formatCode="#,##0.0"/>
    <numFmt numFmtId="170" formatCode="_(* #,##0.000000000000_);_(* \(#,##0.000000000000\);_(* &quot;-&quot;??_);_(@_)"/>
    <numFmt numFmtId="171" formatCode="#,##0.0_);\(#,##0.0\)"/>
    <numFmt numFmtId="172" formatCode="#,##0.00000_);\(#,##0.00000\)"/>
  </numFmts>
  <fonts count="20" x14ac:knownFonts="1">
    <font>
      <sz val="12"/>
      <name val="Helv"/>
    </font>
    <font>
      <sz val="10"/>
      <name val="Arial"/>
      <family val="2"/>
    </font>
    <font>
      <b/>
      <sz val="9"/>
      <name val="Arial"/>
      <family val="2"/>
    </font>
    <font>
      <i/>
      <sz val="10"/>
      <name val="Arial"/>
      <family val="2"/>
    </font>
    <font>
      <sz val="12"/>
      <name val="Arial"/>
      <family val="2"/>
    </font>
    <font>
      <sz val="11"/>
      <name val="Arial Narrow"/>
      <family val="2"/>
    </font>
    <font>
      <sz val="11"/>
      <name val="Helv"/>
    </font>
    <font>
      <sz val="12"/>
      <name val="Helv"/>
    </font>
    <font>
      <sz val="9"/>
      <name val="Calibri"/>
      <family val="2"/>
    </font>
    <font>
      <b/>
      <sz val="9"/>
      <name val="Calibri"/>
      <family val="2"/>
    </font>
    <font>
      <b/>
      <i/>
      <sz val="9"/>
      <name val="Calibri"/>
      <family val="2"/>
    </font>
    <font>
      <sz val="8"/>
      <name val="Calibri"/>
      <family val="2"/>
    </font>
    <font>
      <sz val="9"/>
      <name val="Calibri"/>
      <family val="2"/>
      <scheme val="minor"/>
    </font>
    <font>
      <b/>
      <sz val="9"/>
      <name val="Calibri"/>
      <family val="2"/>
      <scheme val="minor"/>
    </font>
    <font>
      <sz val="10"/>
      <name val="Courier"/>
      <family val="3"/>
    </font>
    <font>
      <sz val="9"/>
      <name val="Arial"/>
      <family val="2"/>
    </font>
    <font>
      <sz val="11"/>
      <color rgb="FF002060"/>
      <name val="MS Reference Sans Serif"/>
      <family val="2"/>
    </font>
    <font>
      <b/>
      <sz val="11"/>
      <color rgb="FF002060"/>
      <name val="MS Reference Sans Serif"/>
      <family val="2"/>
    </font>
    <font>
      <sz val="10"/>
      <color rgb="FF002060"/>
      <name val="MS Reference Sans Serif"/>
      <family val="2"/>
    </font>
    <font>
      <sz val="9"/>
      <color rgb="FF002060"/>
      <name val="MS Reference Sans Serif"/>
      <family val="2"/>
    </font>
  </fonts>
  <fills count="4">
    <fill>
      <patternFill patternType="none"/>
    </fill>
    <fill>
      <patternFill patternType="gray125"/>
    </fill>
    <fill>
      <patternFill patternType="solid">
        <fgColor theme="4" tint="0.79998168889431442"/>
        <bgColor indexed="64"/>
      </patternFill>
    </fill>
    <fill>
      <patternFill patternType="solid">
        <fgColor theme="3" tint="0.59999389629810485"/>
        <bgColor indexed="64"/>
      </patternFill>
    </fill>
  </fills>
  <borders count="21">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theme="4"/>
      </left>
      <right style="medium">
        <color theme="4"/>
      </right>
      <top style="medium">
        <color theme="4"/>
      </top>
      <bottom/>
      <diagonal/>
    </border>
    <border>
      <left/>
      <right style="double">
        <color theme="4"/>
      </right>
      <top style="medium">
        <color theme="4"/>
      </top>
      <bottom/>
      <diagonal/>
    </border>
    <border>
      <left style="double">
        <color theme="4"/>
      </left>
      <right style="medium">
        <color theme="4"/>
      </right>
      <top style="medium">
        <color theme="4"/>
      </top>
      <bottom/>
      <diagonal/>
    </border>
    <border>
      <left style="medium">
        <color theme="4"/>
      </left>
      <right style="medium">
        <color theme="4"/>
      </right>
      <top/>
      <bottom/>
      <diagonal/>
    </border>
    <border>
      <left/>
      <right style="double">
        <color theme="4"/>
      </right>
      <top/>
      <bottom/>
      <diagonal/>
    </border>
    <border>
      <left style="double">
        <color theme="4"/>
      </left>
      <right style="medium">
        <color theme="4"/>
      </right>
      <top/>
      <bottom/>
      <diagonal/>
    </border>
    <border>
      <left/>
      <right style="double">
        <color theme="4"/>
      </right>
      <top/>
      <bottom style="medium">
        <color theme="4"/>
      </bottom>
      <diagonal/>
    </border>
    <border>
      <left style="double">
        <color theme="4"/>
      </left>
      <right style="medium">
        <color theme="4"/>
      </right>
      <top/>
      <bottom style="medium">
        <color theme="4"/>
      </bottom>
      <diagonal/>
    </border>
    <border>
      <left style="double">
        <color theme="4"/>
      </left>
      <right style="double">
        <color theme="4"/>
      </right>
      <top/>
      <bottom/>
      <diagonal/>
    </border>
    <border>
      <left style="double">
        <color theme="4"/>
      </left>
      <right style="double">
        <color theme="4"/>
      </right>
      <top/>
      <bottom style="double">
        <color theme="4"/>
      </bottom>
      <diagonal/>
    </border>
    <border>
      <left/>
      <right style="double">
        <color theme="4"/>
      </right>
      <top/>
      <bottom style="double">
        <color theme="4"/>
      </bottom>
      <diagonal/>
    </border>
  </borders>
  <cellStyleXfs count="4">
    <xf numFmtId="0" fontId="0" fillId="0" borderId="0"/>
    <xf numFmtId="164" fontId="7" fillId="0" borderId="0" applyFont="0" applyFill="0" applyBorder="0" applyAlignment="0" applyProtection="0"/>
    <xf numFmtId="171" fontId="14" fillId="0" borderId="0"/>
    <xf numFmtId="0" fontId="14" fillId="0" borderId="0"/>
  </cellStyleXfs>
  <cellXfs count="75">
    <xf numFmtId="0" fontId="0" fillId="0" borderId="0" xfId="0"/>
    <xf numFmtId="0" fontId="4" fillId="0" borderId="0" xfId="0" applyFont="1"/>
    <xf numFmtId="2" fontId="4" fillId="0" borderId="0" xfId="0" applyNumberFormat="1" applyFont="1"/>
    <xf numFmtId="0" fontId="3" fillId="2" borderId="1" xfId="0" applyFont="1" applyFill="1" applyBorder="1"/>
    <xf numFmtId="0" fontId="3" fillId="2" borderId="2" xfId="0" applyFont="1" applyFill="1" applyBorder="1"/>
    <xf numFmtId="0" fontId="0" fillId="0" borderId="0" xfId="0" applyAlignment="1">
      <alignment wrapText="1"/>
    </xf>
    <xf numFmtId="17" fontId="1" fillId="0" borderId="3" xfId="0" quotePrefix="1" applyNumberFormat="1" applyFont="1" applyBorder="1" applyAlignment="1">
      <alignment horizontal="center" vertical="center" wrapText="1"/>
    </xf>
    <xf numFmtId="2" fontId="1" fillId="0" borderId="3" xfId="0" applyNumberFormat="1" applyFont="1" applyBorder="1" applyAlignment="1">
      <alignment horizontal="center" vertical="center" wrapText="1"/>
    </xf>
    <xf numFmtId="0" fontId="3" fillId="2" borderId="4" xfId="0" applyFont="1" applyFill="1" applyBorder="1" applyAlignment="1">
      <alignment vertical="center"/>
    </xf>
    <xf numFmtId="0" fontId="5" fillId="0" borderId="3" xfId="0" applyFont="1" applyBorder="1" applyAlignment="1">
      <alignment horizontal="justify" vertical="center" wrapText="1"/>
    </xf>
    <xf numFmtId="0" fontId="0" fillId="0" borderId="3" xfId="0" applyBorder="1" applyAlignment="1">
      <alignment vertical="center" wrapText="1"/>
    </xf>
    <xf numFmtId="0" fontId="5" fillId="0" borderId="3" xfId="0" applyFont="1" applyBorder="1" applyAlignment="1">
      <alignment horizontal="justify" vertical="center"/>
    </xf>
    <xf numFmtId="2" fontId="0" fillId="0" borderId="3" xfId="0" applyNumberFormat="1" applyBorder="1" applyAlignment="1">
      <alignment vertical="center" wrapText="1"/>
    </xf>
    <xf numFmtId="0" fontId="0" fillId="0" borderId="0" xfId="0" applyAlignment="1">
      <alignment vertical="center"/>
    </xf>
    <xf numFmtId="0" fontId="6" fillId="0" borderId="3" xfId="0" applyFont="1" applyBorder="1" applyAlignment="1">
      <alignment vertical="center" wrapText="1"/>
    </xf>
    <xf numFmtId="17" fontId="1" fillId="0" borderId="3" xfId="0" applyNumberFormat="1" applyFont="1" applyBorder="1" applyAlignment="1">
      <alignment horizontal="center" vertical="center" wrapText="1"/>
    </xf>
    <xf numFmtId="0" fontId="8" fillId="0" borderId="0" xfId="0" applyFont="1"/>
    <xf numFmtId="0" fontId="9" fillId="0" borderId="0" xfId="0" applyFont="1" applyAlignment="1">
      <alignment horizontal="center"/>
    </xf>
    <xf numFmtId="0" fontId="10" fillId="0" borderId="0" xfId="0" applyFont="1" applyAlignment="1">
      <alignment horizontal="center"/>
    </xf>
    <xf numFmtId="167" fontId="9" fillId="0" borderId="0" xfId="0" applyNumberFormat="1" applyFont="1" applyAlignment="1">
      <alignment horizontal="center"/>
    </xf>
    <xf numFmtId="0" fontId="9" fillId="0" borderId="0" xfId="0" applyFont="1"/>
    <xf numFmtId="168" fontId="8" fillId="0" borderId="0" xfId="0" applyNumberFormat="1" applyFont="1"/>
    <xf numFmtId="166" fontId="8" fillId="0" borderId="0" xfId="0" applyNumberFormat="1" applyFont="1"/>
    <xf numFmtId="0" fontId="8" fillId="0" borderId="0" xfId="0" applyFont="1" applyAlignment="1">
      <alignment horizontal="left"/>
    </xf>
    <xf numFmtId="4" fontId="8" fillId="0" borderId="0" xfId="0" applyNumberFormat="1" applyFont="1"/>
    <xf numFmtId="43" fontId="8" fillId="0" borderId="0" xfId="1" applyNumberFormat="1" applyFont="1"/>
    <xf numFmtId="43" fontId="11" fillId="0" borderId="0" xfId="1" applyNumberFormat="1" applyFont="1"/>
    <xf numFmtId="168" fontId="9" fillId="0" borderId="0" xfId="0" applyNumberFormat="1" applyFont="1"/>
    <xf numFmtId="167" fontId="13" fillId="0" borderId="0" xfId="0" applyNumberFormat="1" applyFont="1" applyAlignment="1">
      <alignment horizontal="center"/>
    </xf>
    <xf numFmtId="0" fontId="12" fillId="0" borderId="0" xfId="0" applyFont="1"/>
    <xf numFmtId="168" fontId="12" fillId="0" borderId="0" xfId="0" applyNumberFormat="1" applyFont="1"/>
    <xf numFmtId="168" fontId="13" fillId="0" borderId="0" xfId="0" applyNumberFormat="1" applyFont="1"/>
    <xf numFmtId="14" fontId="9" fillId="0" borderId="0" xfId="0" applyNumberFormat="1" applyFont="1"/>
    <xf numFmtId="164" fontId="8" fillId="0" borderId="0" xfId="1" applyFont="1"/>
    <xf numFmtId="170" fontId="8" fillId="0" borderId="0" xfId="1" applyNumberFormat="1" applyFont="1"/>
    <xf numFmtId="4" fontId="13" fillId="0" borderId="0" xfId="0" applyNumberFormat="1" applyFont="1"/>
    <xf numFmtId="171" fontId="15" fillId="0" borderId="0" xfId="2" applyFont="1" applyAlignment="1">
      <alignment horizontal="left"/>
    </xf>
    <xf numFmtId="171" fontId="15" fillId="0" borderId="0" xfId="2" applyFont="1"/>
    <xf numFmtId="171" fontId="15" fillId="0" borderId="0" xfId="2" applyFont="1" applyAlignment="1">
      <alignment horizontal="centerContinuous"/>
    </xf>
    <xf numFmtId="171" fontId="15" fillId="0" borderId="0" xfId="2" applyFont="1" applyAlignment="1">
      <alignment horizontal="center"/>
    </xf>
    <xf numFmtId="171" fontId="16" fillId="3" borderId="10" xfId="2" applyFont="1" applyFill="1" applyBorder="1"/>
    <xf numFmtId="171" fontId="17" fillId="3" borderId="11" xfId="2" applyFont="1" applyFill="1" applyBorder="1" applyAlignment="1">
      <alignment horizontal="center"/>
    </xf>
    <xf numFmtId="171" fontId="17" fillId="3" borderId="12" xfId="2" applyFont="1" applyFill="1" applyBorder="1" applyAlignment="1">
      <alignment horizontal="center"/>
    </xf>
    <xf numFmtId="171" fontId="16" fillId="3" borderId="13" xfId="2" applyFont="1" applyFill="1" applyBorder="1"/>
    <xf numFmtId="171" fontId="17" fillId="3" borderId="14" xfId="2" applyFont="1" applyFill="1" applyBorder="1" applyAlignment="1">
      <alignment horizontal="center"/>
    </xf>
    <xf numFmtId="171" fontId="17" fillId="3" borderId="15" xfId="2" applyFont="1" applyFill="1" applyBorder="1" applyAlignment="1">
      <alignment horizontal="center"/>
    </xf>
    <xf numFmtId="171" fontId="2" fillId="0" borderId="0" xfId="2" applyFont="1"/>
    <xf numFmtId="171" fontId="17" fillId="3" borderId="13" xfId="2" applyFont="1" applyFill="1" applyBorder="1" applyAlignment="1">
      <alignment horizontal="left"/>
    </xf>
    <xf numFmtId="171" fontId="17" fillId="3" borderId="15" xfId="2" quotePrefix="1" applyFont="1" applyFill="1" applyBorder="1" applyAlignment="1">
      <alignment horizontal="center"/>
    </xf>
    <xf numFmtId="171" fontId="16" fillId="3" borderId="16" xfId="2" applyFont="1" applyFill="1" applyBorder="1" applyAlignment="1">
      <alignment horizontal="center"/>
    </xf>
    <xf numFmtId="171" fontId="17" fillId="3" borderId="17" xfId="2" applyFont="1" applyFill="1" applyBorder="1" applyAlignment="1">
      <alignment horizontal="center"/>
    </xf>
    <xf numFmtId="17" fontId="18" fillId="2" borderId="18" xfId="2" quotePrefix="1" applyNumberFormat="1" applyFont="1" applyFill="1" applyBorder="1" applyAlignment="1">
      <alignment horizontal="center"/>
    </xf>
    <xf numFmtId="39" fontId="15" fillId="0" borderId="0" xfId="2" applyNumberFormat="1" applyFont="1"/>
    <xf numFmtId="3" fontId="15" fillId="0" borderId="0" xfId="2" applyNumberFormat="1" applyFont="1" applyAlignment="1">
      <alignment horizontal="right"/>
    </xf>
    <xf numFmtId="171" fontId="15" fillId="0" borderId="0" xfId="3" applyNumberFormat="1" applyFont="1"/>
    <xf numFmtId="168" fontId="15" fillId="0" borderId="0" xfId="2" applyNumberFormat="1" applyFont="1" applyAlignment="1">
      <alignment horizontal="right"/>
    </xf>
    <xf numFmtId="166" fontId="15" fillId="0" borderId="0" xfId="2" applyNumberFormat="1" applyFont="1"/>
    <xf numFmtId="172" fontId="15" fillId="0" borderId="0" xfId="2" applyNumberFormat="1" applyFont="1"/>
    <xf numFmtId="17" fontId="18" fillId="2" borderId="19" xfId="2" quotePrefix="1" applyNumberFormat="1" applyFont="1" applyFill="1" applyBorder="1" applyAlignment="1">
      <alignment horizontal="center"/>
    </xf>
    <xf numFmtId="37" fontId="15" fillId="0" borderId="0" xfId="2" applyNumberFormat="1" applyFont="1"/>
    <xf numFmtId="171" fontId="15" fillId="0" borderId="0" xfId="2" applyFont="1" applyAlignment="1">
      <alignment horizontal="right"/>
    </xf>
    <xf numFmtId="4" fontId="18" fillId="2" borderId="18" xfId="2" applyNumberFormat="1" applyFont="1" applyFill="1" applyBorder="1" applyAlignment="1">
      <alignment horizontal="center"/>
    </xf>
    <xf numFmtId="4" fontId="19" fillId="2" borderId="18" xfId="2" applyNumberFormat="1" applyFont="1" applyFill="1" applyBorder="1" applyAlignment="1">
      <alignment horizontal="right"/>
    </xf>
    <xf numFmtId="4" fontId="18" fillId="2" borderId="14" xfId="2" applyNumberFormat="1" applyFont="1" applyFill="1" applyBorder="1" applyAlignment="1">
      <alignment horizontal="center"/>
    </xf>
    <xf numFmtId="4" fontId="19" fillId="2" borderId="14" xfId="2" applyNumberFormat="1" applyFont="1" applyFill="1" applyBorder="1" applyAlignment="1">
      <alignment horizontal="center"/>
    </xf>
    <xf numFmtId="4" fontId="19" fillId="2" borderId="20" xfId="2" applyNumberFormat="1" applyFont="1" applyFill="1" applyBorder="1" applyAlignment="1">
      <alignment horizontal="center"/>
    </xf>
    <xf numFmtId="4" fontId="18" fillId="2" borderId="19" xfId="2" applyNumberFormat="1" applyFont="1" applyFill="1" applyBorder="1" applyAlignment="1">
      <alignment horizontal="center"/>
    </xf>
    <xf numFmtId="171" fontId="2" fillId="0" borderId="0" xfId="2" applyFont="1" applyAlignment="1">
      <alignment horizontal="center"/>
    </xf>
    <xf numFmtId="0" fontId="2" fillId="2" borderId="7" xfId="0" applyFont="1" applyFill="1" applyBorder="1" applyAlignment="1">
      <alignment horizontal="center"/>
    </xf>
    <xf numFmtId="0" fontId="2" fillId="2" borderId="9" xfId="0" applyFont="1" applyFill="1" applyBorder="1" applyAlignment="1">
      <alignment horizontal="center"/>
    </xf>
    <xf numFmtId="0" fontId="2" fillId="2" borderId="8" xfId="0" applyFont="1" applyFill="1" applyBorder="1" applyAlignment="1">
      <alignment horizontal="center"/>
    </xf>
    <xf numFmtId="0" fontId="3" fillId="2" borderId="5" xfId="0" applyFont="1" applyFill="1" applyBorder="1" applyAlignment="1">
      <alignment horizontal="center"/>
    </xf>
    <xf numFmtId="0" fontId="3" fillId="2" borderId="0" xfId="0" applyFont="1" applyFill="1" applyAlignment="1">
      <alignment horizontal="center"/>
    </xf>
    <xf numFmtId="0" fontId="3" fillId="2" borderId="6" xfId="0" applyFont="1" applyFill="1" applyBorder="1" applyAlignment="1">
      <alignment horizontal="center"/>
    </xf>
    <xf numFmtId="14" fontId="0" fillId="0" borderId="0" xfId="0" applyNumberFormat="1"/>
  </cellXfs>
  <cellStyles count="4">
    <cellStyle name="Millares" xfId="1" builtinId="3"/>
    <cellStyle name="Normal" xfId="0" builtinId="0"/>
    <cellStyle name="Normal 2" xfId="2" xr:uid="{97402AF9-8148-49CA-B97D-457F2572094E}"/>
    <cellStyle name="Normal_hdiariadolar4-cambios" xfId="3" xr:uid="{4BEF3185-6E72-43D1-B51E-09D8F7B235A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mtejada/Datos%20de%20programa/Microsoft/Excel/rild%20y%20base%20monetaria%20(version%201).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USERS\MONETARI\DOC%20MONETARIAS\DIARIO\Datos%20Diarios\CAMBIO%20BEDE\BCE_dolarizaci&#243;n%20diario%202021%20bede-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LD"/>
      <sheetName val="RILD (2)"/>
      <sheetName val="BASE MONETARIA"/>
      <sheetName val="depósitos a la vista"/>
      <sheetName val="cuasidinero"/>
      <sheetName val="credito sector privado"/>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letín"/>
      <sheetName val="10R"/>
      <sheetName val="RID"/>
      <sheetName val="RILD"/>
      <sheetName val="BM"/>
      <sheetName val="Reservas Bancarias"/>
      <sheetName val="SISTEMAS"/>
      <sheetName val="Reporte borrador"/>
      <sheetName val="finaciero"/>
      <sheetName val="Monet"/>
      <sheetName val="IEM-122"/>
      <sheetName val="(RILD)IEM-121"/>
      <sheetName val="cobertura rild"/>
      <sheetName val="BASE"/>
      <sheetName val="Reservas Bancarias BCE"/>
      <sheetName val="PRESENTACION"/>
      <sheetName val="Reservas Bancarias OSF diario"/>
      <sheetName val="Reservas Bancarias gra"/>
      <sheetName val="regla de respa"/>
      <sheetName val="sistema de balances (2)"/>
      <sheetName val="IEM-122 (SGG)"/>
      <sheetName val="IEM-122HojaDiaria"/>
      <sheetName val="MET RESERVAS"/>
      <sheetName val="Hoja1"/>
      <sheetName val="031"/>
      <sheetName val="BONOS ECUADOR"/>
      <sheetName val="WTI Y TEORICOS"/>
      <sheetName val="REGLA_RESPALDO"/>
      <sheetName val="regla de respa (2)"/>
      <sheetName val="infro financiera"/>
      <sheetName val="reporte vertical"/>
      <sheetName val="reporte sistema "/>
      <sheetName val="reporte sistema version 01.09 "/>
    </sheetNames>
    <sheetDataSet>
      <sheetData sheetId="0"/>
      <sheetData sheetId="1"/>
      <sheetData sheetId="2"/>
      <sheetData sheetId="3">
        <row r="19">
          <cell r="DTB19">
            <v>8246.3519631600011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E52E-7D74-4951-BDBA-0DA53CE2B490}">
  <sheetPr transitionEvaluation="1"/>
  <dimension ref="A1:H7934"/>
  <sheetViews>
    <sheetView showGridLines="0" zoomScale="80" zoomScaleNormal="80" workbookViewId="0">
      <pane xSplit="1" ySplit="9" topLeftCell="B293" activePane="bottomRight" state="frozenSplit"/>
      <selection pane="topRight" activeCell="D1" sqref="D1"/>
      <selection pane="bottomLeft" activeCell="A11" sqref="A11"/>
      <selection pane="bottomRight" activeCell="C305" sqref="C305"/>
    </sheetView>
  </sheetViews>
  <sheetFormatPr baseColWidth="10" defaultColWidth="9" defaultRowHeight="11.5" x14ac:dyDescent="0.25"/>
  <cols>
    <col min="1" max="1" width="9.15234375" style="37" bestFit="1" customWidth="1"/>
    <col min="2" max="2" width="28.15234375" style="39" bestFit="1" customWidth="1"/>
    <col min="3" max="3" width="28.15234375" style="37" bestFit="1" customWidth="1"/>
    <col min="4" max="4" width="8.84375" style="37" customWidth="1"/>
    <col min="5" max="256" width="9" style="37"/>
    <col min="257" max="257" width="9.15234375" style="37" bestFit="1" customWidth="1"/>
    <col min="258" max="259" width="28.15234375" style="37" bestFit="1" customWidth="1"/>
    <col min="260" max="260" width="8.84375" style="37" customWidth="1"/>
    <col min="261" max="512" width="9" style="37"/>
    <col min="513" max="513" width="9.15234375" style="37" bestFit="1" customWidth="1"/>
    <col min="514" max="515" width="28.15234375" style="37" bestFit="1" customWidth="1"/>
    <col min="516" max="516" width="8.84375" style="37" customWidth="1"/>
    <col min="517" max="768" width="9" style="37"/>
    <col min="769" max="769" width="9.15234375" style="37" bestFit="1" customWidth="1"/>
    <col min="770" max="771" width="28.15234375" style="37" bestFit="1" customWidth="1"/>
    <col min="772" max="772" width="8.84375" style="37" customWidth="1"/>
    <col min="773" max="1024" width="9" style="37"/>
    <col min="1025" max="1025" width="9.15234375" style="37" bestFit="1" customWidth="1"/>
    <col min="1026" max="1027" width="28.15234375" style="37" bestFit="1" customWidth="1"/>
    <col min="1028" max="1028" width="8.84375" style="37" customWidth="1"/>
    <col min="1029" max="1280" width="9" style="37"/>
    <col min="1281" max="1281" width="9.15234375" style="37" bestFit="1" customWidth="1"/>
    <col min="1282" max="1283" width="28.15234375" style="37" bestFit="1" customWidth="1"/>
    <col min="1284" max="1284" width="8.84375" style="37" customWidth="1"/>
    <col min="1285" max="1536" width="9" style="37"/>
    <col min="1537" max="1537" width="9.15234375" style="37" bestFit="1" customWidth="1"/>
    <col min="1538" max="1539" width="28.15234375" style="37" bestFit="1" customWidth="1"/>
    <col min="1540" max="1540" width="8.84375" style="37" customWidth="1"/>
    <col min="1541" max="1792" width="9" style="37"/>
    <col min="1793" max="1793" width="9.15234375" style="37" bestFit="1" customWidth="1"/>
    <col min="1794" max="1795" width="28.15234375" style="37" bestFit="1" customWidth="1"/>
    <col min="1796" max="1796" width="8.84375" style="37" customWidth="1"/>
    <col min="1797" max="2048" width="9" style="37"/>
    <col min="2049" max="2049" width="9.15234375" style="37" bestFit="1" customWidth="1"/>
    <col min="2050" max="2051" width="28.15234375" style="37" bestFit="1" customWidth="1"/>
    <col min="2052" max="2052" width="8.84375" style="37" customWidth="1"/>
    <col min="2053" max="2304" width="9" style="37"/>
    <col min="2305" max="2305" width="9.15234375" style="37" bestFit="1" customWidth="1"/>
    <col min="2306" max="2307" width="28.15234375" style="37" bestFit="1" customWidth="1"/>
    <col min="2308" max="2308" width="8.84375" style="37" customWidth="1"/>
    <col min="2309" max="2560" width="9" style="37"/>
    <col min="2561" max="2561" width="9.15234375" style="37" bestFit="1" customWidth="1"/>
    <col min="2562" max="2563" width="28.15234375" style="37" bestFit="1" customWidth="1"/>
    <col min="2564" max="2564" width="8.84375" style="37" customWidth="1"/>
    <col min="2565" max="2816" width="9" style="37"/>
    <col min="2817" max="2817" width="9.15234375" style="37" bestFit="1" customWidth="1"/>
    <col min="2818" max="2819" width="28.15234375" style="37" bestFit="1" customWidth="1"/>
    <col min="2820" max="2820" width="8.84375" style="37" customWidth="1"/>
    <col min="2821" max="3072" width="9" style="37"/>
    <col min="3073" max="3073" width="9.15234375" style="37" bestFit="1" customWidth="1"/>
    <col min="3074" max="3075" width="28.15234375" style="37" bestFit="1" customWidth="1"/>
    <col min="3076" max="3076" width="8.84375" style="37" customWidth="1"/>
    <col min="3077" max="3328" width="9" style="37"/>
    <col min="3329" max="3329" width="9.15234375" style="37" bestFit="1" customWidth="1"/>
    <col min="3330" max="3331" width="28.15234375" style="37" bestFit="1" customWidth="1"/>
    <col min="3332" max="3332" width="8.84375" style="37" customWidth="1"/>
    <col min="3333" max="3584" width="9" style="37"/>
    <col min="3585" max="3585" width="9.15234375" style="37" bestFit="1" customWidth="1"/>
    <col min="3586" max="3587" width="28.15234375" style="37" bestFit="1" customWidth="1"/>
    <col min="3588" max="3588" width="8.84375" style="37" customWidth="1"/>
    <col min="3589" max="3840" width="9" style="37"/>
    <col min="3841" max="3841" width="9.15234375" style="37" bestFit="1" customWidth="1"/>
    <col min="3842" max="3843" width="28.15234375" style="37" bestFit="1" customWidth="1"/>
    <col min="3844" max="3844" width="8.84375" style="37" customWidth="1"/>
    <col min="3845" max="4096" width="9" style="37"/>
    <col min="4097" max="4097" width="9.15234375" style="37" bestFit="1" customWidth="1"/>
    <col min="4098" max="4099" width="28.15234375" style="37" bestFit="1" customWidth="1"/>
    <col min="4100" max="4100" width="8.84375" style="37" customWidth="1"/>
    <col min="4101" max="4352" width="9" style="37"/>
    <col min="4353" max="4353" width="9.15234375" style="37" bestFit="1" customWidth="1"/>
    <col min="4354" max="4355" width="28.15234375" style="37" bestFit="1" customWidth="1"/>
    <col min="4356" max="4356" width="8.84375" style="37" customWidth="1"/>
    <col min="4357" max="4608" width="9" style="37"/>
    <col min="4609" max="4609" width="9.15234375" style="37" bestFit="1" customWidth="1"/>
    <col min="4610" max="4611" width="28.15234375" style="37" bestFit="1" customWidth="1"/>
    <col min="4612" max="4612" width="8.84375" style="37" customWidth="1"/>
    <col min="4613" max="4864" width="9" style="37"/>
    <col min="4865" max="4865" width="9.15234375" style="37" bestFit="1" customWidth="1"/>
    <col min="4866" max="4867" width="28.15234375" style="37" bestFit="1" customWidth="1"/>
    <col min="4868" max="4868" width="8.84375" style="37" customWidth="1"/>
    <col min="4869" max="5120" width="9" style="37"/>
    <col min="5121" max="5121" width="9.15234375" style="37" bestFit="1" customWidth="1"/>
    <col min="5122" max="5123" width="28.15234375" style="37" bestFit="1" customWidth="1"/>
    <col min="5124" max="5124" width="8.84375" style="37" customWidth="1"/>
    <col min="5125" max="5376" width="9" style="37"/>
    <col min="5377" max="5377" width="9.15234375" style="37" bestFit="1" customWidth="1"/>
    <col min="5378" max="5379" width="28.15234375" style="37" bestFit="1" customWidth="1"/>
    <col min="5380" max="5380" width="8.84375" style="37" customWidth="1"/>
    <col min="5381" max="5632" width="9" style="37"/>
    <col min="5633" max="5633" width="9.15234375" style="37" bestFit="1" customWidth="1"/>
    <col min="5634" max="5635" width="28.15234375" style="37" bestFit="1" customWidth="1"/>
    <col min="5636" max="5636" width="8.84375" style="37" customWidth="1"/>
    <col min="5637" max="5888" width="9" style="37"/>
    <col min="5889" max="5889" width="9.15234375" style="37" bestFit="1" customWidth="1"/>
    <col min="5890" max="5891" width="28.15234375" style="37" bestFit="1" customWidth="1"/>
    <col min="5892" max="5892" width="8.84375" style="37" customWidth="1"/>
    <col min="5893" max="6144" width="9" style="37"/>
    <col min="6145" max="6145" width="9.15234375" style="37" bestFit="1" customWidth="1"/>
    <col min="6146" max="6147" width="28.15234375" style="37" bestFit="1" customWidth="1"/>
    <col min="6148" max="6148" width="8.84375" style="37" customWidth="1"/>
    <col min="6149" max="6400" width="9" style="37"/>
    <col min="6401" max="6401" width="9.15234375" style="37" bestFit="1" customWidth="1"/>
    <col min="6402" max="6403" width="28.15234375" style="37" bestFit="1" customWidth="1"/>
    <col min="6404" max="6404" width="8.84375" style="37" customWidth="1"/>
    <col min="6405" max="6656" width="9" style="37"/>
    <col min="6657" max="6657" width="9.15234375" style="37" bestFit="1" customWidth="1"/>
    <col min="6658" max="6659" width="28.15234375" style="37" bestFit="1" customWidth="1"/>
    <col min="6660" max="6660" width="8.84375" style="37" customWidth="1"/>
    <col min="6661" max="6912" width="9" style="37"/>
    <col min="6913" max="6913" width="9.15234375" style="37" bestFit="1" customWidth="1"/>
    <col min="6914" max="6915" width="28.15234375" style="37" bestFit="1" customWidth="1"/>
    <col min="6916" max="6916" width="8.84375" style="37" customWidth="1"/>
    <col min="6917" max="7168" width="9" style="37"/>
    <col min="7169" max="7169" width="9.15234375" style="37" bestFit="1" customWidth="1"/>
    <col min="7170" max="7171" width="28.15234375" style="37" bestFit="1" customWidth="1"/>
    <col min="7172" max="7172" width="8.84375" style="37" customWidth="1"/>
    <col min="7173" max="7424" width="9" style="37"/>
    <col min="7425" max="7425" width="9.15234375" style="37" bestFit="1" customWidth="1"/>
    <col min="7426" max="7427" width="28.15234375" style="37" bestFit="1" customWidth="1"/>
    <col min="7428" max="7428" width="8.84375" style="37" customWidth="1"/>
    <col min="7429" max="7680" width="9" style="37"/>
    <col min="7681" max="7681" width="9.15234375" style="37" bestFit="1" customWidth="1"/>
    <col min="7682" max="7683" width="28.15234375" style="37" bestFit="1" customWidth="1"/>
    <col min="7684" max="7684" width="8.84375" style="37" customWidth="1"/>
    <col min="7685" max="7936" width="9" style="37"/>
    <col min="7937" max="7937" width="9.15234375" style="37" bestFit="1" customWidth="1"/>
    <col min="7938" max="7939" width="28.15234375" style="37" bestFit="1" customWidth="1"/>
    <col min="7940" max="7940" width="8.84375" style="37" customWidth="1"/>
    <col min="7941" max="8192" width="9" style="37"/>
    <col min="8193" max="8193" width="9.15234375" style="37" bestFit="1" customWidth="1"/>
    <col min="8194" max="8195" width="28.15234375" style="37" bestFit="1" customWidth="1"/>
    <col min="8196" max="8196" width="8.84375" style="37" customWidth="1"/>
    <col min="8197" max="8448" width="9" style="37"/>
    <col min="8449" max="8449" width="9.15234375" style="37" bestFit="1" customWidth="1"/>
    <col min="8450" max="8451" width="28.15234375" style="37" bestFit="1" customWidth="1"/>
    <col min="8452" max="8452" width="8.84375" style="37" customWidth="1"/>
    <col min="8453" max="8704" width="9" style="37"/>
    <col min="8705" max="8705" width="9.15234375" style="37" bestFit="1" customWidth="1"/>
    <col min="8706" max="8707" width="28.15234375" style="37" bestFit="1" customWidth="1"/>
    <col min="8708" max="8708" width="8.84375" style="37" customWidth="1"/>
    <col min="8709" max="8960" width="9" style="37"/>
    <col min="8961" max="8961" width="9.15234375" style="37" bestFit="1" customWidth="1"/>
    <col min="8962" max="8963" width="28.15234375" style="37" bestFit="1" customWidth="1"/>
    <col min="8964" max="8964" width="8.84375" style="37" customWidth="1"/>
    <col min="8965" max="9216" width="9" style="37"/>
    <col min="9217" max="9217" width="9.15234375" style="37" bestFit="1" customWidth="1"/>
    <col min="9218" max="9219" width="28.15234375" style="37" bestFit="1" customWidth="1"/>
    <col min="9220" max="9220" width="8.84375" style="37" customWidth="1"/>
    <col min="9221" max="9472" width="9" style="37"/>
    <col min="9473" max="9473" width="9.15234375" style="37" bestFit="1" customWidth="1"/>
    <col min="9474" max="9475" width="28.15234375" style="37" bestFit="1" customWidth="1"/>
    <col min="9476" max="9476" width="8.84375" style="37" customWidth="1"/>
    <col min="9477" max="9728" width="9" style="37"/>
    <col min="9729" max="9729" width="9.15234375" style="37" bestFit="1" customWidth="1"/>
    <col min="9730" max="9731" width="28.15234375" style="37" bestFit="1" customWidth="1"/>
    <col min="9732" max="9732" width="8.84375" style="37" customWidth="1"/>
    <col min="9733" max="9984" width="9" style="37"/>
    <col min="9985" max="9985" width="9.15234375" style="37" bestFit="1" customWidth="1"/>
    <col min="9986" max="9987" width="28.15234375" style="37" bestFit="1" customWidth="1"/>
    <col min="9988" max="9988" width="8.84375" style="37" customWidth="1"/>
    <col min="9989" max="10240" width="9" style="37"/>
    <col min="10241" max="10241" width="9.15234375" style="37" bestFit="1" customWidth="1"/>
    <col min="10242" max="10243" width="28.15234375" style="37" bestFit="1" customWidth="1"/>
    <col min="10244" max="10244" width="8.84375" style="37" customWidth="1"/>
    <col min="10245" max="10496" width="9" style="37"/>
    <col min="10497" max="10497" width="9.15234375" style="37" bestFit="1" customWidth="1"/>
    <col min="10498" max="10499" width="28.15234375" style="37" bestFit="1" customWidth="1"/>
    <col min="10500" max="10500" width="8.84375" style="37" customWidth="1"/>
    <col min="10501" max="10752" width="9" style="37"/>
    <col min="10753" max="10753" width="9.15234375" style="37" bestFit="1" customWidth="1"/>
    <col min="10754" max="10755" width="28.15234375" style="37" bestFit="1" customWidth="1"/>
    <col min="10756" max="10756" width="8.84375" style="37" customWidth="1"/>
    <col min="10757" max="11008" width="9" style="37"/>
    <col min="11009" max="11009" width="9.15234375" style="37" bestFit="1" customWidth="1"/>
    <col min="11010" max="11011" width="28.15234375" style="37" bestFit="1" customWidth="1"/>
    <col min="11012" max="11012" width="8.84375" style="37" customWidth="1"/>
    <col min="11013" max="11264" width="9" style="37"/>
    <col min="11265" max="11265" width="9.15234375" style="37" bestFit="1" customWidth="1"/>
    <col min="11266" max="11267" width="28.15234375" style="37" bestFit="1" customWidth="1"/>
    <col min="11268" max="11268" width="8.84375" style="37" customWidth="1"/>
    <col min="11269" max="11520" width="9" style="37"/>
    <col min="11521" max="11521" width="9.15234375" style="37" bestFit="1" customWidth="1"/>
    <col min="11522" max="11523" width="28.15234375" style="37" bestFit="1" customWidth="1"/>
    <col min="11524" max="11524" width="8.84375" style="37" customWidth="1"/>
    <col min="11525" max="11776" width="9" style="37"/>
    <col min="11777" max="11777" width="9.15234375" style="37" bestFit="1" customWidth="1"/>
    <col min="11778" max="11779" width="28.15234375" style="37" bestFit="1" customWidth="1"/>
    <col min="11780" max="11780" width="8.84375" style="37" customWidth="1"/>
    <col min="11781" max="12032" width="9" style="37"/>
    <col min="12033" max="12033" width="9.15234375" style="37" bestFit="1" customWidth="1"/>
    <col min="12034" max="12035" width="28.15234375" style="37" bestFit="1" customWidth="1"/>
    <col min="12036" max="12036" width="8.84375" style="37" customWidth="1"/>
    <col min="12037" max="12288" width="9" style="37"/>
    <col min="12289" max="12289" width="9.15234375" style="37" bestFit="1" customWidth="1"/>
    <col min="12290" max="12291" width="28.15234375" style="37" bestFit="1" customWidth="1"/>
    <col min="12292" max="12292" width="8.84375" style="37" customWidth="1"/>
    <col min="12293" max="12544" width="9" style="37"/>
    <col min="12545" max="12545" width="9.15234375" style="37" bestFit="1" customWidth="1"/>
    <col min="12546" max="12547" width="28.15234375" style="37" bestFit="1" customWidth="1"/>
    <col min="12548" max="12548" width="8.84375" style="37" customWidth="1"/>
    <col min="12549" max="12800" width="9" style="37"/>
    <col min="12801" max="12801" width="9.15234375" style="37" bestFit="1" customWidth="1"/>
    <col min="12802" max="12803" width="28.15234375" style="37" bestFit="1" customWidth="1"/>
    <col min="12804" max="12804" width="8.84375" style="37" customWidth="1"/>
    <col min="12805" max="13056" width="9" style="37"/>
    <col min="13057" max="13057" width="9.15234375" style="37" bestFit="1" customWidth="1"/>
    <col min="13058" max="13059" width="28.15234375" style="37" bestFit="1" customWidth="1"/>
    <col min="13060" max="13060" width="8.84375" style="37" customWidth="1"/>
    <col min="13061" max="13312" width="9" style="37"/>
    <col min="13313" max="13313" width="9.15234375" style="37" bestFit="1" customWidth="1"/>
    <col min="13314" max="13315" width="28.15234375" style="37" bestFit="1" customWidth="1"/>
    <col min="13316" max="13316" width="8.84375" style="37" customWidth="1"/>
    <col min="13317" max="13568" width="9" style="37"/>
    <col min="13569" max="13569" width="9.15234375" style="37" bestFit="1" customWidth="1"/>
    <col min="13570" max="13571" width="28.15234375" style="37" bestFit="1" customWidth="1"/>
    <col min="13572" max="13572" width="8.84375" style="37" customWidth="1"/>
    <col min="13573" max="13824" width="9" style="37"/>
    <col min="13825" max="13825" width="9.15234375" style="37" bestFit="1" customWidth="1"/>
    <col min="13826" max="13827" width="28.15234375" style="37" bestFit="1" customWidth="1"/>
    <col min="13828" max="13828" width="8.84375" style="37" customWidth="1"/>
    <col min="13829" max="14080" width="9" style="37"/>
    <col min="14081" max="14081" width="9.15234375" style="37" bestFit="1" customWidth="1"/>
    <col min="14082" max="14083" width="28.15234375" style="37" bestFit="1" customWidth="1"/>
    <col min="14084" max="14084" width="8.84375" style="37" customWidth="1"/>
    <col min="14085" max="14336" width="9" style="37"/>
    <col min="14337" max="14337" width="9.15234375" style="37" bestFit="1" customWidth="1"/>
    <col min="14338" max="14339" width="28.15234375" style="37" bestFit="1" customWidth="1"/>
    <col min="14340" max="14340" width="8.84375" style="37" customWidth="1"/>
    <col min="14341" max="14592" width="9" style="37"/>
    <col min="14593" max="14593" width="9.15234375" style="37" bestFit="1" customWidth="1"/>
    <col min="14594" max="14595" width="28.15234375" style="37" bestFit="1" customWidth="1"/>
    <col min="14596" max="14596" width="8.84375" style="37" customWidth="1"/>
    <col min="14597" max="14848" width="9" style="37"/>
    <col min="14849" max="14849" width="9.15234375" style="37" bestFit="1" customWidth="1"/>
    <col min="14850" max="14851" width="28.15234375" style="37" bestFit="1" customWidth="1"/>
    <col min="14852" max="14852" width="8.84375" style="37" customWidth="1"/>
    <col min="14853" max="15104" width="9" style="37"/>
    <col min="15105" max="15105" width="9.15234375" style="37" bestFit="1" customWidth="1"/>
    <col min="15106" max="15107" width="28.15234375" style="37" bestFit="1" customWidth="1"/>
    <col min="15108" max="15108" width="8.84375" style="37" customWidth="1"/>
    <col min="15109" max="15360" width="9" style="37"/>
    <col min="15361" max="15361" width="9.15234375" style="37" bestFit="1" customWidth="1"/>
    <col min="15362" max="15363" width="28.15234375" style="37" bestFit="1" customWidth="1"/>
    <col min="15364" max="15364" width="8.84375" style="37" customWidth="1"/>
    <col min="15365" max="15616" width="9" style="37"/>
    <col min="15617" max="15617" width="9.15234375" style="37" bestFit="1" customWidth="1"/>
    <col min="15618" max="15619" width="28.15234375" style="37" bestFit="1" customWidth="1"/>
    <col min="15620" max="15620" width="8.84375" style="37" customWidth="1"/>
    <col min="15621" max="15872" width="9" style="37"/>
    <col min="15873" max="15873" width="9.15234375" style="37" bestFit="1" customWidth="1"/>
    <col min="15874" max="15875" width="28.15234375" style="37" bestFit="1" customWidth="1"/>
    <col min="15876" max="15876" width="8.84375" style="37" customWidth="1"/>
    <col min="15877" max="16128" width="9" style="37"/>
    <col min="16129" max="16129" width="9.15234375" style="37" bestFit="1" customWidth="1"/>
    <col min="16130" max="16131" width="28.15234375" style="37" bestFit="1" customWidth="1"/>
    <col min="16132" max="16132" width="8.84375" style="37" customWidth="1"/>
    <col min="16133" max="16384" width="9" style="37"/>
  </cols>
  <sheetData>
    <row r="1" spans="1:4" ht="14.15" customHeight="1" x14ac:dyDescent="0.25">
      <c r="A1" s="67"/>
      <c r="B1" s="67"/>
      <c r="C1" s="67"/>
      <c r="D1" s="36"/>
    </row>
    <row r="2" spans="1:4" ht="14.15" customHeight="1" x14ac:dyDescent="0.25">
      <c r="A2" s="67"/>
      <c r="B2" s="67"/>
      <c r="C2" s="67"/>
      <c r="D2" s="38"/>
    </row>
    <row r="3" spans="1:4" ht="14.15" customHeight="1" thickBot="1" x14ac:dyDescent="0.3">
      <c r="D3" s="36"/>
    </row>
    <row r="4" spans="1:4" ht="14.15" customHeight="1" x14ac:dyDescent="0.35">
      <c r="A4" s="40"/>
      <c r="B4" s="41" t="s">
        <v>131</v>
      </c>
      <c r="C4" s="42" t="s">
        <v>131</v>
      </c>
    </row>
    <row r="5" spans="1:4" ht="14.15" customHeight="1" x14ac:dyDescent="0.35">
      <c r="A5" s="43"/>
      <c r="B5" s="44" t="s">
        <v>132</v>
      </c>
      <c r="C5" s="45" t="s">
        <v>133</v>
      </c>
      <c r="D5" s="46"/>
    </row>
    <row r="6" spans="1:4" ht="14.15" customHeight="1" x14ac:dyDescent="0.35">
      <c r="A6" s="47" t="s">
        <v>134</v>
      </c>
      <c r="B6" s="44" t="s">
        <v>133</v>
      </c>
      <c r="C6" s="45" t="s">
        <v>135</v>
      </c>
    </row>
    <row r="7" spans="1:4" ht="14.15" customHeight="1" x14ac:dyDescent="0.35">
      <c r="A7" s="43"/>
      <c r="B7" s="44" t="s">
        <v>136</v>
      </c>
      <c r="C7" s="48" t="s">
        <v>137</v>
      </c>
      <c r="D7" s="46"/>
    </row>
    <row r="8" spans="1:4" ht="14.15" customHeight="1" x14ac:dyDescent="0.35">
      <c r="A8" s="43"/>
      <c r="B8" s="44" t="s">
        <v>138</v>
      </c>
      <c r="C8" s="45" t="s">
        <v>138</v>
      </c>
      <c r="D8" s="46"/>
    </row>
    <row r="9" spans="1:4" ht="14.15" customHeight="1" thickBot="1" x14ac:dyDescent="0.4">
      <c r="A9" s="43"/>
      <c r="B9" s="49"/>
      <c r="C9" s="50"/>
      <c r="D9" s="46"/>
    </row>
    <row r="10" spans="1:4" ht="14.15" customHeight="1" x14ac:dyDescent="0.35">
      <c r="A10" s="51">
        <v>32904</v>
      </c>
      <c r="B10" s="61">
        <v>103.24299640830775</v>
      </c>
      <c r="C10" s="62"/>
      <c r="D10" s="46"/>
    </row>
    <row r="11" spans="1:4" ht="14.15" customHeight="1" x14ac:dyDescent="0.35">
      <c r="A11" s="51">
        <v>32932</v>
      </c>
      <c r="B11" s="61">
        <v>119.96057799743586</v>
      </c>
      <c r="C11" s="62"/>
      <c r="D11" s="46"/>
    </row>
    <row r="12" spans="1:4" ht="14.15" customHeight="1" x14ac:dyDescent="0.35">
      <c r="A12" s="51">
        <v>32963</v>
      </c>
      <c r="B12" s="61">
        <v>203.05973623051281</v>
      </c>
      <c r="C12" s="62"/>
      <c r="D12" s="46"/>
    </row>
    <row r="13" spans="1:4" ht="14.15" customHeight="1" x14ac:dyDescent="0.35">
      <c r="A13" s="51">
        <v>32993</v>
      </c>
      <c r="B13" s="61">
        <v>144.5299113603846</v>
      </c>
      <c r="C13" s="62"/>
      <c r="D13" s="46"/>
    </row>
    <row r="14" spans="1:4" ht="14.15" customHeight="1" x14ac:dyDescent="0.35">
      <c r="A14" s="51">
        <v>33024</v>
      </c>
      <c r="B14" s="61">
        <v>128.93603859199993</v>
      </c>
      <c r="C14" s="62"/>
      <c r="D14" s="46"/>
    </row>
    <row r="15" spans="1:4" ht="14.15" customHeight="1" x14ac:dyDescent="0.35">
      <c r="A15" s="51">
        <v>33054</v>
      </c>
      <c r="B15" s="61">
        <v>192.8813070994872</v>
      </c>
      <c r="C15" s="62"/>
      <c r="D15" s="46"/>
    </row>
    <row r="16" spans="1:4" ht="14.15" customHeight="1" x14ac:dyDescent="0.35">
      <c r="A16" s="51">
        <v>33085</v>
      </c>
      <c r="B16" s="61">
        <v>159.40943888597434</v>
      </c>
      <c r="C16" s="62"/>
      <c r="D16" s="46"/>
    </row>
    <row r="17" spans="1:4" ht="14.15" customHeight="1" x14ac:dyDescent="0.35">
      <c r="A17" s="51">
        <v>33116</v>
      </c>
      <c r="B17" s="61">
        <v>164.01077379315379</v>
      </c>
      <c r="C17" s="62"/>
      <c r="D17" s="46"/>
    </row>
    <row r="18" spans="1:4" ht="14.15" customHeight="1" x14ac:dyDescent="0.35">
      <c r="A18" s="51">
        <v>33146</v>
      </c>
      <c r="B18" s="61">
        <v>235.49767841769221</v>
      </c>
      <c r="C18" s="62"/>
      <c r="D18" s="46"/>
    </row>
    <row r="19" spans="1:4" ht="14.15" customHeight="1" x14ac:dyDescent="0.35">
      <c r="A19" s="51">
        <v>33177</v>
      </c>
      <c r="B19" s="61">
        <v>305.64260418402563</v>
      </c>
      <c r="C19" s="62"/>
      <c r="D19" s="46"/>
    </row>
    <row r="20" spans="1:4" ht="14.15" customHeight="1" x14ac:dyDescent="0.35">
      <c r="A20" s="51">
        <v>33207</v>
      </c>
      <c r="B20" s="61">
        <v>467.44934419630772</v>
      </c>
      <c r="C20" s="62"/>
      <c r="D20" s="46"/>
    </row>
    <row r="21" spans="1:4" ht="14.15" customHeight="1" x14ac:dyDescent="0.35">
      <c r="A21" s="51">
        <v>33238</v>
      </c>
      <c r="B21" s="61">
        <v>603.27476153846146</v>
      </c>
      <c r="C21" s="62"/>
      <c r="D21" s="46"/>
    </row>
    <row r="22" spans="1:4" ht="14.15" customHeight="1" x14ac:dyDescent="0.35">
      <c r="A22" s="51">
        <v>33269</v>
      </c>
      <c r="B22" s="61">
        <v>518.77803355128196</v>
      </c>
      <c r="C22" s="62"/>
      <c r="D22" s="46"/>
    </row>
    <row r="23" spans="1:4" ht="14.15" customHeight="1" x14ac:dyDescent="0.35">
      <c r="A23" s="51">
        <v>33297</v>
      </c>
      <c r="B23" s="61">
        <v>480.83614923589732</v>
      </c>
      <c r="C23" s="62"/>
      <c r="D23" s="46"/>
    </row>
    <row r="24" spans="1:4" ht="14.15" customHeight="1" x14ac:dyDescent="0.35">
      <c r="A24" s="51">
        <v>33328</v>
      </c>
      <c r="B24" s="61">
        <v>503.2478989153845</v>
      </c>
      <c r="C24" s="62"/>
      <c r="D24" s="46"/>
    </row>
    <row r="25" spans="1:4" ht="14.15" customHeight="1" x14ac:dyDescent="0.35">
      <c r="A25" s="51">
        <v>33358</v>
      </c>
      <c r="B25" s="61">
        <v>585.4969766538461</v>
      </c>
      <c r="C25" s="62"/>
      <c r="D25" s="46"/>
    </row>
    <row r="26" spans="1:4" ht="14.15" customHeight="1" x14ac:dyDescent="0.35">
      <c r="A26" s="51">
        <v>33389</v>
      </c>
      <c r="B26" s="61">
        <v>528.38503156792308</v>
      </c>
      <c r="C26" s="62"/>
      <c r="D26" s="46"/>
    </row>
    <row r="27" spans="1:4" ht="14.15" customHeight="1" x14ac:dyDescent="0.35">
      <c r="A27" s="51">
        <v>33419</v>
      </c>
      <c r="B27" s="61">
        <v>556.5976435897436</v>
      </c>
      <c r="C27" s="62"/>
      <c r="D27" s="46"/>
    </row>
    <row r="28" spans="1:4" ht="14.15" customHeight="1" x14ac:dyDescent="0.35">
      <c r="A28" s="51">
        <v>33450</v>
      </c>
      <c r="B28" s="61">
        <v>572.8482802743589</v>
      </c>
      <c r="C28" s="62"/>
      <c r="D28" s="46"/>
    </row>
    <row r="29" spans="1:4" ht="14.15" customHeight="1" x14ac:dyDescent="0.35">
      <c r="A29" s="51">
        <v>33481</v>
      </c>
      <c r="B29" s="61">
        <v>584.32499069487187</v>
      </c>
      <c r="C29" s="62"/>
      <c r="D29" s="46"/>
    </row>
    <row r="30" spans="1:4" ht="14.15" customHeight="1" x14ac:dyDescent="0.35">
      <c r="A30" s="51">
        <v>33511</v>
      </c>
      <c r="B30" s="61">
        <v>605.73208205128196</v>
      </c>
      <c r="C30" s="62"/>
      <c r="D30" s="46"/>
    </row>
    <row r="31" spans="1:4" ht="14.15" customHeight="1" x14ac:dyDescent="0.35">
      <c r="A31" s="51">
        <v>33542</v>
      </c>
      <c r="B31" s="61">
        <v>587.61293333333322</v>
      </c>
      <c r="C31" s="62"/>
      <c r="D31" s="46"/>
    </row>
    <row r="32" spans="1:4" ht="14.15" customHeight="1" x14ac:dyDescent="0.35">
      <c r="A32" s="51">
        <v>33572</v>
      </c>
      <c r="B32" s="61">
        <v>600.60017568625642</v>
      </c>
      <c r="C32" s="62"/>
      <c r="D32" s="46"/>
    </row>
    <row r="33" spans="1:4" ht="14.15" customHeight="1" x14ac:dyDescent="0.35">
      <c r="A33" s="51">
        <v>33603</v>
      </c>
      <c r="B33" s="61">
        <v>760.44698974358971</v>
      </c>
      <c r="C33" s="62"/>
      <c r="D33" s="46"/>
    </row>
    <row r="34" spans="1:4" ht="14.15" customHeight="1" x14ac:dyDescent="0.35">
      <c r="A34" s="51">
        <v>33634</v>
      </c>
      <c r="B34" s="61">
        <v>651.04575128205124</v>
      </c>
      <c r="C34" s="62"/>
      <c r="D34" s="46"/>
    </row>
    <row r="35" spans="1:4" ht="14.15" customHeight="1" x14ac:dyDescent="0.35">
      <c r="A35" s="51">
        <v>33663</v>
      </c>
      <c r="B35" s="61">
        <v>643.32692300256417</v>
      </c>
      <c r="C35" s="62"/>
      <c r="D35" s="46"/>
    </row>
    <row r="36" spans="1:4" ht="14.15" customHeight="1" x14ac:dyDescent="0.35">
      <c r="A36" s="51">
        <v>33694</v>
      </c>
      <c r="B36" s="61">
        <v>696.5707362102562</v>
      </c>
      <c r="C36" s="62"/>
      <c r="D36" s="46"/>
    </row>
    <row r="37" spans="1:4" ht="14.15" customHeight="1" x14ac:dyDescent="0.35">
      <c r="A37" s="51">
        <v>33724</v>
      </c>
      <c r="B37" s="61">
        <v>590.26709230769234</v>
      </c>
      <c r="C37" s="62"/>
      <c r="D37" s="46"/>
    </row>
    <row r="38" spans="1:4" ht="14.15" customHeight="1" x14ac:dyDescent="0.35">
      <c r="A38" s="51">
        <v>33755</v>
      </c>
      <c r="B38" s="61">
        <v>456.18191282051288</v>
      </c>
      <c r="C38" s="62"/>
      <c r="D38" s="46"/>
    </row>
    <row r="39" spans="1:4" ht="14.15" customHeight="1" x14ac:dyDescent="0.35">
      <c r="A39" s="51">
        <v>33785</v>
      </c>
      <c r="B39" s="61">
        <v>452.80784410256405</v>
      </c>
      <c r="C39" s="62"/>
      <c r="D39" s="46"/>
    </row>
    <row r="40" spans="1:4" ht="14.15" customHeight="1" x14ac:dyDescent="0.35">
      <c r="A40" s="51">
        <v>33816</v>
      </c>
      <c r="B40" s="61">
        <v>311.46115451025651</v>
      </c>
      <c r="C40" s="62"/>
      <c r="D40" s="46"/>
    </row>
    <row r="41" spans="1:4" ht="14.15" customHeight="1" x14ac:dyDescent="0.35">
      <c r="A41" s="51">
        <v>33847</v>
      </c>
      <c r="B41" s="61">
        <v>223.90563023102555</v>
      </c>
      <c r="C41" s="62"/>
      <c r="D41" s="46"/>
    </row>
    <row r="42" spans="1:4" ht="14.15" customHeight="1" x14ac:dyDescent="0.35">
      <c r="A42" s="51">
        <v>33877</v>
      </c>
      <c r="B42" s="61">
        <v>488.94840695128204</v>
      </c>
      <c r="C42" s="62"/>
      <c r="D42" s="46"/>
    </row>
    <row r="43" spans="1:4" ht="14.15" customHeight="1" x14ac:dyDescent="0.35">
      <c r="A43" s="51">
        <v>33908</v>
      </c>
      <c r="B43" s="61">
        <v>761.73612247435915</v>
      </c>
      <c r="C43" s="62"/>
      <c r="D43" s="46"/>
    </row>
    <row r="44" spans="1:4" ht="14.15" customHeight="1" x14ac:dyDescent="0.35">
      <c r="A44" s="51">
        <v>33938</v>
      </c>
      <c r="B44" s="61">
        <v>818.39865417179487</v>
      </c>
      <c r="C44" s="62"/>
      <c r="D44" s="46"/>
    </row>
    <row r="45" spans="1:4" ht="14.15" customHeight="1" x14ac:dyDescent="0.35">
      <c r="A45" s="51">
        <v>33969</v>
      </c>
      <c r="B45" s="61">
        <v>781.85756666666668</v>
      </c>
      <c r="C45" s="62"/>
      <c r="D45" s="46"/>
    </row>
    <row r="46" spans="1:4" ht="14.15" customHeight="1" x14ac:dyDescent="0.35">
      <c r="A46" s="51">
        <v>34000</v>
      </c>
      <c r="B46" s="61">
        <v>775.15756945641033</v>
      </c>
      <c r="C46" s="62"/>
      <c r="D46" s="46"/>
    </row>
    <row r="47" spans="1:4" ht="14.15" customHeight="1" x14ac:dyDescent="0.35">
      <c r="A47" s="51">
        <v>34028</v>
      </c>
      <c r="B47" s="61">
        <v>849.89101451494889</v>
      </c>
      <c r="C47" s="62"/>
      <c r="D47" s="46"/>
    </row>
    <row r="48" spans="1:4" ht="14.15" customHeight="1" x14ac:dyDescent="0.35">
      <c r="A48" s="51">
        <v>34059</v>
      </c>
      <c r="B48" s="61">
        <v>850.5944873717948</v>
      </c>
      <c r="C48" s="62"/>
      <c r="D48" s="46"/>
    </row>
    <row r="49" spans="1:4" ht="14.15" customHeight="1" x14ac:dyDescent="0.35">
      <c r="A49" s="51">
        <v>34089</v>
      </c>
      <c r="B49" s="61">
        <v>933.46479743589748</v>
      </c>
      <c r="C49" s="62"/>
      <c r="D49" s="46"/>
    </row>
    <row r="50" spans="1:4" ht="14.15" customHeight="1" x14ac:dyDescent="0.35">
      <c r="A50" s="51">
        <v>34120</v>
      </c>
      <c r="B50" s="61">
        <v>932.91299364871782</v>
      </c>
      <c r="C50" s="62"/>
      <c r="D50" s="46"/>
    </row>
    <row r="51" spans="1:4" ht="14.15" customHeight="1" x14ac:dyDescent="0.35">
      <c r="A51" s="51">
        <v>34150</v>
      </c>
      <c r="B51" s="61">
        <v>968.54498205128209</v>
      </c>
      <c r="C51" s="62"/>
      <c r="D51" s="46"/>
    </row>
    <row r="52" spans="1:4" ht="14.15" customHeight="1" x14ac:dyDescent="0.35">
      <c r="A52" s="51">
        <v>34181</v>
      </c>
      <c r="B52" s="61">
        <v>1047.1425866179486</v>
      </c>
      <c r="C52" s="62"/>
      <c r="D52" s="46"/>
    </row>
    <row r="53" spans="1:4" ht="14.15" customHeight="1" x14ac:dyDescent="0.35">
      <c r="A53" s="51">
        <v>34212</v>
      </c>
      <c r="B53" s="61">
        <v>1130.4469225692308</v>
      </c>
      <c r="C53" s="62"/>
      <c r="D53" s="46"/>
    </row>
    <row r="54" spans="1:4" ht="14.15" customHeight="1" x14ac:dyDescent="0.35">
      <c r="A54" s="51">
        <v>34242</v>
      </c>
      <c r="B54" s="61">
        <v>1121.7383364153843</v>
      </c>
      <c r="C54" s="62"/>
      <c r="D54" s="46"/>
    </row>
    <row r="55" spans="1:4" ht="14.15" customHeight="1" x14ac:dyDescent="0.35">
      <c r="A55" s="51">
        <v>34273</v>
      </c>
      <c r="B55" s="61">
        <v>1212.1335282051284</v>
      </c>
      <c r="C55" s="62"/>
      <c r="D55" s="46"/>
    </row>
    <row r="56" spans="1:4" ht="14.15" customHeight="1" x14ac:dyDescent="0.35">
      <c r="A56" s="51">
        <v>34303</v>
      </c>
      <c r="B56" s="61">
        <v>1210.6418692307691</v>
      </c>
      <c r="C56" s="62"/>
      <c r="D56" s="46"/>
    </row>
    <row r="57" spans="1:4" ht="14.15" customHeight="1" x14ac:dyDescent="0.35">
      <c r="A57" s="51">
        <v>34334</v>
      </c>
      <c r="B57" s="61">
        <v>1253.803071463775</v>
      </c>
      <c r="C57" s="62"/>
      <c r="D57" s="46"/>
    </row>
    <row r="58" spans="1:4" ht="14.15" customHeight="1" x14ac:dyDescent="0.35">
      <c r="A58" s="51">
        <v>34365</v>
      </c>
      <c r="B58" s="61">
        <v>1186.8419016706443</v>
      </c>
      <c r="C58" s="62"/>
      <c r="D58" s="46"/>
    </row>
    <row r="59" spans="1:4" ht="14.15" customHeight="1" x14ac:dyDescent="0.35">
      <c r="A59" s="51">
        <v>34393</v>
      </c>
      <c r="B59" s="61">
        <v>1275.8271077689358</v>
      </c>
      <c r="C59" s="62"/>
      <c r="D59" s="46"/>
    </row>
    <row r="60" spans="1:4" ht="14.15" customHeight="1" x14ac:dyDescent="0.35">
      <c r="A60" s="51">
        <v>34424</v>
      </c>
      <c r="B60" s="61">
        <v>1331.4139652571032</v>
      </c>
      <c r="C60" s="62"/>
      <c r="D60" s="46"/>
    </row>
    <row r="61" spans="1:4" ht="14.15" customHeight="1" x14ac:dyDescent="0.35">
      <c r="A61" s="51">
        <v>34454</v>
      </c>
      <c r="B61" s="61">
        <v>1280.8238013068394</v>
      </c>
      <c r="C61" s="62"/>
      <c r="D61" s="46"/>
    </row>
    <row r="62" spans="1:4" ht="14.15" customHeight="1" x14ac:dyDescent="0.35">
      <c r="A62" s="51">
        <v>34485</v>
      </c>
      <c r="B62" s="61">
        <v>1323.7896567343173</v>
      </c>
      <c r="C62" s="62"/>
      <c r="D62" s="46"/>
    </row>
    <row r="63" spans="1:4" ht="14.15" customHeight="1" x14ac:dyDescent="0.35">
      <c r="A63" s="51">
        <v>34515</v>
      </c>
      <c r="B63" s="61">
        <v>1445.7741493585163</v>
      </c>
      <c r="C63" s="62"/>
      <c r="D63" s="46"/>
    </row>
    <row r="64" spans="1:4" ht="14.15" customHeight="1" x14ac:dyDescent="0.35">
      <c r="A64" s="51">
        <v>34546</v>
      </c>
      <c r="B64" s="61">
        <v>1497.7466759220308</v>
      </c>
      <c r="C64" s="62"/>
      <c r="D64" s="46"/>
    </row>
    <row r="65" spans="1:4" ht="14.15" customHeight="1" x14ac:dyDescent="0.35">
      <c r="A65" s="51">
        <v>34577</v>
      </c>
      <c r="B65" s="61">
        <v>1482.5322805095429</v>
      </c>
      <c r="C65" s="62"/>
      <c r="D65" s="46"/>
    </row>
    <row r="66" spans="1:4" ht="14.15" customHeight="1" x14ac:dyDescent="0.35">
      <c r="A66" s="51">
        <v>34607</v>
      </c>
      <c r="B66" s="61">
        <v>1582.8656047745358</v>
      </c>
      <c r="C66" s="62"/>
      <c r="D66" s="46"/>
    </row>
    <row r="67" spans="1:4" ht="14.15" customHeight="1" x14ac:dyDescent="0.35">
      <c r="A67" s="51">
        <v>34638</v>
      </c>
      <c r="B67" s="61">
        <v>1553.8451136627245</v>
      </c>
      <c r="C67" s="62"/>
      <c r="D67" s="46"/>
    </row>
    <row r="68" spans="1:4" ht="14.15" customHeight="1" x14ac:dyDescent="0.35">
      <c r="A68" s="51">
        <v>34668</v>
      </c>
      <c r="B68" s="61">
        <v>1519.6934951533131</v>
      </c>
      <c r="C68" s="62"/>
      <c r="D68" s="46"/>
    </row>
    <row r="69" spans="1:4" ht="14.15" customHeight="1" x14ac:dyDescent="0.35">
      <c r="A69" s="51">
        <v>34699</v>
      </c>
      <c r="B69" s="61">
        <v>1711.7385280801045</v>
      </c>
      <c r="C69" s="62"/>
      <c r="D69" s="46"/>
    </row>
    <row r="70" spans="1:4" ht="14.15" customHeight="1" x14ac:dyDescent="0.35">
      <c r="A70" s="51">
        <v>34730</v>
      </c>
      <c r="B70" s="61">
        <v>1620.5936521971419</v>
      </c>
      <c r="C70" s="62"/>
      <c r="D70" s="46"/>
    </row>
    <row r="71" spans="1:4" ht="14.15" customHeight="1" x14ac:dyDescent="0.35">
      <c r="A71" s="51">
        <v>34758</v>
      </c>
      <c r="B71" s="61">
        <v>1507.639638195102</v>
      </c>
      <c r="C71" s="62"/>
      <c r="D71" s="46"/>
    </row>
    <row r="72" spans="1:4" ht="14.15" customHeight="1" x14ac:dyDescent="0.35">
      <c r="A72" s="51">
        <v>34789</v>
      </c>
      <c r="B72" s="61">
        <v>1608.0856034695905</v>
      </c>
      <c r="C72" s="62"/>
      <c r="D72" s="46"/>
    </row>
    <row r="73" spans="1:4" ht="14.15" customHeight="1" x14ac:dyDescent="0.35">
      <c r="A73" s="51">
        <v>34819</v>
      </c>
      <c r="B73" s="61">
        <v>1713.1190641029955</v>
      </c>
      <c r="C73" s="62"/>
      <c r="D73" s="46"/>
    </row>
    <row r="74" spans="1:4" ht="14.15" customHeight="1" x14ac:dyDescent="0.35">
      <c r="A74" s="51">
        <v>34850</v>
      </c>
      <c r="B74" s="61">
        <v>1721.0410064843431</v>
      </c>
      <c r="C74" s="62"/>
      <c r="D74" s="46"/>
    </row>
    <row r="75" spans="1:4" ht="14.15" customHeight="1" x14ac:dyDescent="0.35">
      <c r="A75" s="51">
        <v>34880</v>
      </c>
      <c r="B75" s="61">
        <v>1770.0964863083234</v>
      </c>
      <c r="C75" s="62"/>
      <c r="D75" s="46"/>
    </row>
    <row r="76" spans="1:4" ht="14.15" customHeight="1" x14ac:dyDescent="0.35">
      <c r="A76" s="51">
        <v>34911</v>
      </c>
      <c r="B76" s="61">
        <v>1689.0983153114821</v>
      </c>
      <c r="C76" s="62"/>
      <c r="D76" s="46"/>
    </row>
    <row r="77" spans="1:4" ht="14.15" customHeight="1" x14ac:dyDescent="0.35">
      <c r="A77" s="51">
        <v>34942</v>
      </c>
      <c r="B77" s="61">
        <v>1659.489200927175</v>
      </c>
      <c r="C77" s="62"/>
      <c r="D77" s="46"/>
    </row>
    <row r="78" spans="1:4" ht="14.15" customHeight="1" x14ac:dyDescent="0.35">
      <c r="A78" s="51">
        <v>34972</v>
      </c>
      <c r="B78" s="61">
        <v>1661.3155937889733</v>
      </c>
      <c r="C78" s="62"/>
      <c r="D78" s="46"/>
    </row>
    <row r="79" spans="1:4" ht="14.15" customHeight="1" x14ac:dyDescent="0.35">
      <c r="A79" s="51">
        <v>35003</v>
      </c>
      <c r="B79" s="61">
        <v>1628.6328402898171</v>
      </c>
      <c r="C79" s="62"/>
      <c r="D79" s="46"/>
    </row>
    <row r="80" spans="1:4" ht="14.15" customHeight="1" x14ac:dyDescent="0.35">
      <c r="A80" s="51">
        <v>35033</v>
      </c>
      <c r="B80" s="61">
        <v>1618.0316675333331</v>
      </c>
      <c r="C80" s="62"/>
      <c r="D80" s="46"/>
    </row>
    <row r="81" spans="1:4" ht="14.15" customHeight="1" x14ac:dyDescent="0.35">
      <c r="A81" s="51">
        <v>35064</v>
      </c>
      <c r="B81" s="61">
        <v>1556.6144806786449</v>
      </c>
      <c r="C81" s="62"/>
      <c r="D81" s="46"/>
    </row>
    <row r="82" spans="1:4" ht="14.15" customHeight="1" x14ac:dyDescent="0.35">
      <c r="A82" s="51">
        <v>35095</v>
      </c>
      <c r="B82" s="61">
        <v>1566.8119556748891</v>
      </c>
      <c r="C82" s="62"/>
      <c r="D82" s="46"/>
    </row>
    <row r="83" spans="1:4" ht="14.15" customHeight="1" x14ac:dyDescent="0.35">
      <c r="A83" s="51">
        <v>35124</v>
      </c>
      <c r="B83" s="61">
        <v>1546.4211330569683</v>
      </c>
      <c r="C83" s="61"/>
      <c r="D83" s="46"/>
    </row>
    <row r="84" spans="1:4" ht="14.15" customHeight="1" x14ac:dyDescent="0.35">
      <c r="A84" s="51">
        <v>35155</v>
      </c>
      <c r="B84" s="61">
        <v>1559.4647123915045</v>
      </c>
      <c r="C84" s="61"/>
      <c r="D84" s="46"/>
    </row>
    <row r="85" spans="1:4" ht="14.15" customHeight="1" x14ac:dyDescent="0.35">
      <c r="A85" s="51">
        <v>35185</v>
      </c>
      <c r="B85" s="61">
        <v>1593.7710134661681</v>
      </c>
      <c r="C85" s="61"/>
      <c r="D85" s="46"/>
    </row>
    <row r="86" spans="1:4" ht="14.15" customHeight="1" x14ac:dyDescent="0.35">
      <c r="A86" s="51">
        <v>35216</v>
      </c>
      <c r="B86" s="61">
        <v>1549.2233706619722</v>
      </c>
      <c r="C86" s="61"/>
      <c r="D86" s="46"/>
    </row>
    <row r="87" spans="1:4" ht="14.15" customHeight="1" x14ac:dyDescent="0.35">
      <c r="A87" s="51">
        <v>35246</v>
      </c>
      <c r="B87" s="61">
        <v>1571.1334781003518</v>
      </c>
      <c r="C87" s="61"/>
      <c r="D87" s="46"/>
    </row>
    <row r="88" spans="1:4" ht="14.15" customHeight="1" x14ac:dyDescent="0.35">
      <c r="A88" s="51">
        <v>35277</v>
      </c>
      <c r="B88" s="61">
        <v>1509.2950521867378</v>
      </c>
      <c r="C88" s="61"/>
      <c r="D88" s="46"/>
    </row>
    <row r="89" spans="1:4" ht="14.15" customHeight="1" x14ac:dyDescent="0.35">
      <c r="A89" s="51">
        <v>35308</v>
      </c>
      <c r="B89" s="61">
        <v>1526.1457255085054</v>
      </c>
      <c r="C89" s="61"/>
      <c r="D89" s="46"/>
    </row>
    <row r="90" spans="1:4" ht="14.15" customHeight="1" x14ac:dyDescent="0.35">
      <c r="A90" s="51">
        <v>35338</v>
      </c>
      <c r="B90" s="61">
        <v>1690.090652575509</v>
      </c>
      <c r="C90" s="61"/>
      <c r="D90" s="46"/>
    </row>
    <row r="91" spans="1:4" ht="14.15" customHeight="1" x14ac:dyDescent="0.35">
      <c r="A91" s="51">
        <v>35369</v>
      </c>
      <c r="B91" s="61">
        <v>1761.0363590378149</v>
      </c>
      <c r="C91" s="61"/>
      <c r="D91" s="46"/>
    </row>
    <row r="92" spans="1:4" ht="14.15" customHeight="1" x14ac:dyDescent="0.35">
      <c r="A92" s="51">
        <v>35399</v>
      </c>
      <c r="B92" s="61">
        <v>1651.701972208064</v>
      </c>
      <c r="C92" s="61"/>
      <c r="D92" s="46"/>
    </row>
    <row r="93" spans="1:4" ht="14.15" customHeight="1" x14ac:dyDescent="0.35">
      <c r="A93" s="51">
        <v>35430</v>
      </c>
      <c r="B93" s="61">
        <v>1831.4609964157703</v>
      </c>
      <c r="C93" s="61"/>
      <c r="D93" s="46"/>
    </row>
    <row r="94" spans="1:4" ht="14.15" customHeight="1" x14ac:dyDescent="0.35">
      <c r="A94" s="51">
        <v>35461</v>
      </c>
      <c r="B94" s="61">
        <v>1996.067081682497</v>
      </c>
      <c r="C94" s="61"/>
      <c r="D94" s="46"/>
    </row>
    <row r="95" spans="1:4" ht="14.15" customHeight="1" x14ac:dyDescent="0.35">
      <c r="A95" s="51">
        <v>35489</v>
      </c>
      <c r="B95" s="61">
        <v>1780.5740967655709</v>
      </c>
      <c r="C95" s="61"/>
      <c r="D95" s="46"/>
    </row>
    <row r="96" spans="1:4" ht="14.15" customHeight="1" x14ac:dyDescent="0.35">
      <c r="A96" s="51">
        <v>35520</v>
      </c>
      <c r="B96" s="61">
        <v>1919.9469259356877</v>
      </c>
      <c r="C96" s="61"/>
      <c r="D96" s="46"/>
    </row>
    <row r="97" spans="1:4" ht="14.15" customHeight="1" x14ac:dyDescent="0.35">
      <c r="A97" s="51">
        <v>35550</v>
      </c>
      <c r="B97" s="61">
        <v>2047.6419180648338</v>
      </c>
      <c r="C97" s="61"/>
      <c r="D97" s="46"/>
    </row>
    <row r="98" spans="1:4" ht="14.15" customHeight="1" x14ac:dyDescent="0.35">
      <c r="A98" s="51">
        <v>35581</v>
      </c>
      <c r="B98" s="61">
        <v>2111.847453217124</v>
      </c>
      <c r="C98" s="61"/>
      <c r="D98" s="46"/>
    </row>
    <row r="99" spans="1:4" ht="14.15" customHeight="1" x14ac:dyDescent="0.35">
      <c r="A99" s="51">
        <v>35611</v>
      </c>
      <c r="B99" s="61">
        <v>2225.6884975685134</v>
      </c>
      <c r="C99" s="61"/>
      <c r="D99" s="46"/>
    </row>
    <row r="100" spans="1:4" ht="14.15" customHeight="1" x14ac:dyDescent="0.35">
      <c r="A100" s="51">
        <v>35642</v>
      </c>
      <c r="B100" s="61">
        <v>2144.912913528246</v>
      </c>
      <c r="C100" s="61"/>
      <c r="D100" s="46"/>
    </row>
    <row r="101" spans="1:4" ht="14.15" customHeight="1" x14ac:dyDescent="0.35">
      <c r="A101" s="51">
        <v>35673</v>
      </c>
      <c r="B101" s="61">
        <v>2043.3129444782612</v>
      </c>
      <c r="C101" s="61"/>
      <c r="D101" s="46"/>
    </row>
    <row r="102" spans="1:4" ht="14.15" customHeight="1" x14ac:dyDescent="0.35">
      <c r="A102" s="51">
        <v>35703</v>
      </c>
      <c r="B102" s="61">
        <v>2230.7702393038439</v>
      </c>
      <c r="C102" s="61"/>
      <c r="D102" s="46"/>
    </row>
    <row r="103" spans="1:4" ht="14.15" customHeight="1" x14ac:dyDescent="0.35">
      <c r="A103" s="51">
        <v>35734</v>
      </c>
      <c r="B103" s="61">
        <v>2130.5635880816717</v>
      </c>
      <c r="C103" s="61"/>
      <c r="D103" s="46"/>
    </row>
    <row r="104" spans="1:4" ht="14.15" customHeight="1" x14ac:dyDescent="0.35">
      <c r="A104" s="51">
        <v>35764</v>
      </c>
      <c r="B104" s="61">
        <v>2051.2942350467292</v>
      </c>
      <c r="C104" s="61"/>
      <c r="D104" s="46"/>
    </row>
    <row r="105" spans="1:4" ht="14.15" customHeight="1" x14ac:dyDescent="0.35">
      <c r="A105" s="51">
        <v>35795</v>
      </c>
      <c r="B105" s="61">
        <v>2093.3697373183868</v>
      </c>
      <c r="C105" s="61"/>
      <c r="D105" s="46"/>
    </row>
    <row r="106" spans="1:4" ht="14.15" customHeight="1" x14ac:dyDescent="0.35">
      <c r="A106" s="51">
        <v>35826</v>
      </c>
      <c r="B106" s="61">
        <v>1953.4742476485642</v>
      </c>
      <c r="C106" s="61"/>
      <c r="D106" s="46"/>
    </row>
    <row r="107" spans="1:4" ht="14.15" customHeight="1" x14ac:dyDescent="0.35">
      <c r="A107" s="51">
        <v>35854</v>
      </c>
      <c r="B107" s="61">
        <v>1969.9848679766521</v>
      </c>
      <c r="C107" s="61"/>
      <c r="D107" s="46"/>
    </row>
    <row r="108" spans="1:4" ht="14.15" customHeight="1" x14ac:dyDescent="0.35">
      <c r="A108" s="51">
        <v>35885</v>
      </c>
      <c r="B108" s="61">
        <v>1939.7225165917469</v>
      </c>
      <c r="C108" s="61"/>
      <c r="D108" s="46"/>
    </row>
    <row r="109" spans="1:4" ht="14.15" customHeight="1" x14ac:dyDescent="0.35">
      <c r="A109" s="51">
        <v>35915</v>
      </c>
      <c r="B109" s="61">
        <v>2012.844526535536</v>
      </c>
      <c r="C109" s="61"/>
      <c r="D109" s="46"/>
    </row>
    <row r="110" spans="1:4" ht="14.15" customHeight="1" x14ac:dyDescent="0.35">
      <c r="A110" s="51">
        <v>35946</v>
      </c>
      <c r="B110" s="61">
        <v>1862.0874622493695</v>
      </c>
      <c r="C110" s="61"/>
      <c r="D110" s="46"/>
    </row>
    <row r="111" spans="1:4" ht="14.15" customHeight="1" x14ac:dyDescent="0.35">
      <c r="A111" s="51">
        <v>35976</v>
      </c>
      <c r="B111" s="61">
        <v>1877.9459159317923</v>
      </c>
      <c r="C111" s="61"/>
      <c r="D111" s="46"/>
    </row>
    <row r="112" spans="1:4" ht="14.15" customHeight="1" x14ac:dyDescent="0.35">
      <c r="A112" s="51">
        <v>36007</v>
      </c>
      <c r="B112" s="61">
        <v>1950.5226823170458</v>
      </c>
      <c r="C112" s="61"/>
      <c r="D112" s="46"/>
    </row>
    <row r="113" spans="1:4" ht="14.15" customHeight="1" x14ac:dyDescent="0.35">
      <c r="A113" s="51">
        <v>36038</v>
      </c>
      <c r="B113" s="61">
        <v>1837.4972280695306</v>
      </c>
      <c r="C113" s="63"/>
      <c r="D113" s="46"/>
    </row>
    <row r="114" spans="1:4" ht="14.15" customHeight="1" x14ac:dyDescent="0.35">
      <c r="A114" s="51">
        <v>36068</v>
      </c>
      <c r="B114" s="61">
        <v>1642.0405581424379</v>
      </c>
      <c r="C114" s="61"/>
      <c r="D114" s="46"/>
    </row>
    <row r="115" spans="1:4" ht="14.15" customHeight="1" x14ac:dyDescent="0.35">
      <c r="A115" s="51">
        <v>36099</v>
      </c>
      <c r="B115" s="61">
        <v>1620.8032320316902</v>
      </c>
      <c r="C115" s="61"/>
      <c r="D115" s="46"/>
    </row>
    <row r="116" spans="1:4" ht="14.15" customHeight="1" x14ac:dyDescent="0.35">
      <c r="A116" s="51">
        <v>36129</v>
      </c>
      <c r="B116" s="61">
        <v>1742.766765572155</v>
      </c>
      <c r="C116" s="61"/>
      <c r="D116" s="46"/>
    </row>
    <row r="117" spans="1:4" ht="14.15" customHeight="1" x14ac:dyDescent="0.35">
      <c r="A117" s="51">
        <v>36160</v>
      </c>
      <c r="B117" s="61">
        <v>1698.3155055345803</v>
      </c>
      <c r="C117" s="61"/>
      <c r="D117" s="46"/>
    </row>
    <row r="118" spans="1:4" ht="14.15" customHeight="1" x14ac:dyDescent="0.35">
      <c r="A118" s="51">
        <v>36191</v>
      </c>
      <c r="B118" s="61">
        <v>1474</v>
      </c>
      <c r="C118" s="61"/>
      <c r="D118" s="46"/>
    </row>
    <row r="119" spans="1:4" ht="14.15" customHeight="1" x14ac:dyDescent="0.35">
      <c r="A119" s="51">
        <v>36219</v>
      </c>
      <c r="B119" s="61">
        <v>1250</v>
      </c>
      <c r="C119" s="61"/>
      <c r="D119" s="46"/>
    </row>
    <row r="120" spans="1:4" ht="14.15" customHeight="1" x14ac:dyDescent="0.35">
      <c r="A120" s="51">
        <v>36250</v>
      </c>
      <c r="B120" s="61">
        <v>1178</v>
      </c>
      <c r="C120" s="61"/>
      <c r="D120" s="46"/>
    </row>
    <row r="121" spans="1:4" ht="14.15" customHeight="1" x14ac:dyDescent="0.35">
      <c r="A121" s="51">
        <v>36280</v>
      </c>
      <c r="B121" s="61">
        <v>1195</v>
      </c>
      <c r="C121" s="61"/>
      <c r="D121" s="46"/>
    </row>
    <row r="122" spans="1:4" ht="14.15" customHeight="1" x14ac:dyDescent="0.35">
      <c r="A122" s="51">
        <v>36311</v>
      </c>
      <c r="B122" s="61">
        <v>1322</v>
      </c>
      <c r="C122" s="61"/>
      <c r="D122" s="46"/>
    </row>
    <row r="123" spans="1:4" ht="14.15" customHeight="1" x14ac:dyDescent="0.35">
      <c r="A123" s="51">
        <v>36341</v>
      </c>
      <c r="B123" s="61">
        <v>1296</v>
      </c>
      <c r="C123" s="61"/>
      <c r="D123" s="46"/>
    </row>
    <row r="124" spans="1:4" ht="14.15" customHeight="1" x14ac:dyDescent="0.35">
      <c r="A124" s="51">
        <v>36372</v>
      </c>
      <c r="B124" s="61">
        <v>1249</v>
      </c>
      <c r="C124" s="61"/>
      <c r="D124" s="46"/>
    </row>
    <row r="125" spans="1:4" ht="14.15" customHeight="1" x14ac:dyDescent="0.35">
      <c r="A125" s="51">
        <v>36403</v>
      </c>
      <c r="B125" s="61">
        <v>1270</v>
      </c>
      <c r="C125" s="61"/>
      <c r="D125" s="46"/>
    </row>
    <row r="126" spans="1:4" ht="14.15" customHeight="1" x14ac:dyDescent="0.35">
      <c r="A126" s="51">
        <v>36433</v>
      </c>
      <c r="B126" s="61">
        <v>1274</v>
      </c>
      <c r="C126" s="61"/>
      <c r="D126" s="46"/>
    </row>
    <row r="127" spans="1:4" ht="14.15" customHeight="1" x14ac:dyDescent="0.35">
      <c r="A127" s="51">
        <v>36464</v>
      </c>
      <c r="B127" s="61">
        <v>1280</v>
      </c>
      <c r="C127" s="61"/>
      <c r="D127" s="46"/>
    </row>
    <row r="128" spans="1:4" ht="14.15" customHeight="1" x14ac:dyDescent="0.35">
      <c r="A128" s="51">
        <v>36494</v>
      </c>
      <c r="B128" s="61">
        <v>1224</v>
      </c>
      <c r="C128" s="61"/>
      <c r="D128" s="46"/>
    </row>
    <row r="129" spans="1:6" ht="14.15" customHeight="1" x14ac:dyDescent="0.35">
      <c r="A129" s="51">
        <v>36525</v>
      </c>
      <c r="B129" s="61">
        <v>1276</v>
      </c>
      <c r="C129" s="61"/>
      <c r="D129" s="46"/>
    </row>
    <row r="130" spans="1:6" ht="14.15" customHeight="1" x14ac:dyDescent="0.35">
      <c r="A130" s="51">
        <v>36556</v>
      </c>
      <c r="B130" s="64"/>
      <c r="C130" s="61">
        <v>852.62</v>
      </c>
      <c r="D130" s="46"/>
    </row>
    <row r="131" spans="1:6" ht="14.15" customHeight="1" x14ac:dyDescent="0.35">
      <c r="A131" s="51">
        <v>36585</v>
      </c>
      <c r="B131" s="64"/>
      <c r="C131" s="61">
        <v>909.75999999999988</v>
      </c>
      <c r="D131" s="46"/>
    </row>
    <row r="132" spans="1:6" ht="14.15" customHeight="1" x14ac:dyDescent="0.35">
      <c r="A132" s="51">
        <v>36616</v>
      </c>
      <c r="B132" s="64"/>
      <c r="C132" s="61">
        <v>778.86000000000013</v>
      </c>
      <c r="D132" s="46"/>
    </row>
    <row r="133" spans="1:6" s="52" customFormat="1" ht="14.15" customHeight="1" x14ac:dyDescent="0.35">
      <c r="A133" s="51">
        <v>36646</v>
      </c>
      <c r="B133" s="64"/>
      <c r="C133" s="61">
        <v>938.6</v>
      </c>
      <c r="D133" s="46"/>
      <c r="E133" s="37"/>
      <c r="F133" s="37"/>
    </row>
    <row r="134" spans="1:6" s="52" customFormat="1" ht="14.15" customHeight="1" x14ac:dyDescent="0.35">
      <c r="A134" s="51">
        <v>36677</v>
      </c>
      <c r="B134" s="64"/>
      <c r="C134" s="61">
        <v>890.78999999999985</v>
      </c>
      <c r="D134" s="46"/>
      <c r="E134" s="37"/>
      <c r="F134" s="37"/>
    </row>
    <row r="135" spans="1:6" s="52" customFormat="1" ht="14.15" customHeight="1" x14ac:dyDescent="0.35">
      <c r="A135" s="51">
        <v>36707</v>
      </c>
      <c r="B135" s="64"/>
      <c r="C135" s="61">
        <v>890.89</v>
      </c>
      <c r="D135" s="46"/>
      <c r="E135" s="37"/>
      <c r="F135" s="37"/>
    </row>
    <row r="136" spans="1:6" s="52" customFormat="1" ht="14.15" customHeight="1" x14ac:dyDescent="0.35">
      <c r="A136" s="51">
        <v>36738</v>
      </c>
      <c r="B136" s="64"/>
      <c r="C136" s="61">
        <v>873.75000000000011</v>
      </c>
      <c r="D136" s="46"/>
      <c r="E136" s="37"/>
      <c r="F136" s="37"/>
    </row>
    <row r="137" spans="1:6" s="52" customFormat="1" ht="14.15" customHeight="1" x14ac:dyDescent="0.35">
      <c r="A137" s="51">
        <v>36769</v>
      </c>
      <c r="B137" s="64"/>
      <c r="C137" s="61">
        <v>834.96000000000015</v>
      </c>
      <c r="D137" s="46"/>
      <c r="E137" s="37"/>
      <c r="F137" s="37"/>
    </row>
    <row r="138" spans="1:6" s="52" customFormat="1" ht="14.15" customHeight="1" x14ac:dyDescent="0.35">
      <c r="A138" s="51">
        <v>36799</v>
      </c>
      <c r="B138" s="64"/>
      <c r="C138" s="61">
        <v>1033.56</v>
      </c>
      <c r="D138" s="46"/>
      <c r="E138" s="37"/>
      <c r="F138" s="37"/>
    </row>
    <row r="139" spans="1:6" s="52" customFormat="1" ht="14.15" customHeight="1" x14ac:dyDescent="0.35">
      <c r="A139" s="51">
        <v>36830</v>
      </c>
      <c r="B139" s="64"/>
      <c r="C139" s="61">
        <v>1189.5</v>
      </c>
      <c r="D139" s="46"/>
      <c r="E139" s="37"/>
      <c r="F139" s="37"/>
    </row>
    <row r="140" spans="1:6" s="52" customFormat="1" ht="14.15" customHeight="1" x14ac:dyDescent="0.35">
      <c r="A140" s="51">
        <v>36860</v>
      </c>
      <c r="B140" s="64"/>
      <c r="C140" s="61">
        <v>1252.7199999999998</v>
      </c>
      <c r="D140" s="46"/>
      <c r="E140" s="37"/>
      <c r="F140" s="37"/>
    </row>
    <row r="141" spans="1:6" s="52" customFormat="1" ht="14.15" customHeight="1" x14ac:dyDescent="0.35">
      <c r="A141" s="51">
        <v>36891</v>
      </c>
      <c r="B141" s="64"/>
      <c r="C141" s="61">
        <v>1179.6899999999998</v>
      </c>
      <c r="D141" s="46"/>
      <c r="E141" s="37"/>
      <c r="F141" s="37"/>
    </row>
    <row r="142" spans="1:6" s="52" customFormat="1" ht="14.15" customHeight="1" x14ac:dyDescent="0.35">
      <c r="A142" s="51">
        <v>36922</v>
      </c>
      <c r="B142" s="64"/>
      <c r="C142" s="61">
        <v>970.11061100000006</v>
      </c>
      <c r="D142" s="46"/>
      <c r="E142" s="37"/>
      <c r="F142" s="37"/>
    </row>
    <row r="143" spans="1:6" s="52" customFormat="1" ht="14.15" customHeight="1" x14ac:dyDescent="0.35">
      <c r="A143" s="51">
        <v>36950</v>
      </c>
      <c r="B143" s="64"/>
      <c r="C143" s="61">
        <v>906.11933400000009</v>
      </c>
      <c r="D143" s="53"/>
      <c r="E143" s="37"/>
      <c r="F143" s="37"/>
    </row>
    <row r="144" spans="1:6" s="52" customFormat="1" ht="13.5" customHeight="1" x14ac:dyDescent="0.35">
      <c r="A144" s="51">
        <v>36981</v>
      </c>
      <c r="B144" s="64"/>
      <c r="C144" s="61">
        <v>953.98342699999978</v>
      </c>
      <c r="D144" s="53"/>
      <c r="E144" s="37"/>
      <c r="F144" s="37"/>
    </row>
    <row r="145" spans="1:6" s="52" customFormat="1" ht="14.15" customHeight="1" x14ac:dyDescent="0.35">
      <c r="A145" s="51">
        <v>37011</v>
      </c>
      <c r="B145" s="64"/>
      <c r="C145" s="61">
        <v>1136.5065779999998</v>
      </c>
      <c r="D145" s="53"/>
      <c r="E145" s="37"/>
      <c r="F145" s="37"/>
    </row>
    <row r="146" spans="1:6" ht="13.5" customHeight="1" x14ac:dyDescent="0.35">
      <c r="A146" s="51">
        <v>37042</v>
      </c>
      <c r="B146" s="64"/>
      <c r="C146" s="61">
        <v>1068.5599330000002</v>
      </c>
      <c r="D146" s="53"/>
    </row>
    <row r="147" spans="1:6" s="52" customFormat="1" ht="14.15" customHeight="1" x14ac:dyDescent="0.35">
      <c r="A147" s="51">
        <v>37072</v>
      </c>
      <c r="B147" s="64"/>
      <c r="C147" s="61">
        <v>1204.203064</v>
      </c>
      <c r="D147" s="53"/>
      <c r="E147" s="37"/>
      <c r="F147" s="37"/>
    </row>
    <row r="148" spans="1:6" s="52" customFormat="1" ht="14.15" customHeight="1" x14ac:dyDescent="0.35">
      <c r="A148" s="51">
        <v>37103</v>
      </c>
      <c r="B148" s="64"/>
      <c r="C148" s="61">
        <v>1183.8141309999999</v>
      </c>
      <c r="D148" s="53"/>
      <c r="E148" s="37"/>
      <c r="F148" s="37"/>
    </row>
    <row r="149" spans="1:6" s="52" customFormat="1" ht="14.25" customHeight="1" x14ac:dyDescent="0.35">
      <c r="A149" s="51">
        <v>37134</v>
      </c>
      <c r="B149" s="64"/>
      <c r="C149" s="61">
        <v>1116.2669249999999</v>
      </c>
      <c r="D149" s="53"/>
      <c r="E149" s="37"/>
      <c r="F149" s="37"/>
    </row>
    <row r="150" spans="1:6" s="52" customFormat="1" ht="13.5" customHeight="1" x14ac:dyDescent="0.35">
      <c r="A150" s="51">
        <v>37164</v>
      </c>
      <c r="B150" s="64"/>
      <c r="C150" s="61">
        <v>1160.5902360000002</v>
      </c>
      <c r="D150" s="53"/>
      <c r="E150" s="37"/>
      <c r="F150" s="37"/>
    </row>
    <row r="151" spans="1:6" s="52" customFormat="1" ht="13.5" customHeight="1" x14ac:dyDescent="0.35">
      <c r="A151" s="51">
        <v>37195</v>
      </c>
      <c r="B151" s="64"/>
      <c r="C151" s="61">
        <v>1210.2913050000002</v>
      </c>
      <c r="D151" s="53"/>
      <c r="E151" s="37"/>
      <c r="F151" s="37"/>
    </row>
    <row r="152" spans="1:6" s="52" customFormat="1" ht="13.5" customHeight="1" x14ac:dyDescent="0.35">
      <c r="A152" s="51">
        <v>37225</v>
      </c>
      <c r="B152" s="64"/>
      <c r="C152" s="61">
        <v>1116.114386</v>
      </c>
      <c r="D152" s="53"/>
      <c r="E152" s="37"/>
      <c r="F152" s="37"/>
    </row>
    <row r="153" spans="1:6" s="52" customFormat="1" ht="13.5" customHeight="1" x14ac:dyDescent="0.35">
      <c r="A153" s="51">
        <v>37256</v>
      </c>
      <c r="B153" s="64"/>
      <c r="C153" s="61">
        <v>1073.806646</v>
      </c>
      <c r="D153" s="53"/>
      <c r="E153" s="37"/>
      <c r="F153" s="37"/>
    </row>
    <row r="154" spans="1:6" s="52" customFormat="1" ht="13.5" customHeight="1" x14ac:dyDescent="0.35">
      <c r="A154" s="51">
        <v>37287</v>
      </c>
      <c r="B154" s="64"/>
      <c r="C154" s="61">
        <v>1120.7784729999996</v>
      </c>
      <c r="D154" s="53"/>
      <c r="E154" s="37"/>
      <c r="F154" s="37"/>
    </row>
    <row r="155" spans="1:6" s="52" customFormat="1" ht="13.5" customHeight="1" x14ac:dyDescent="0.35">
      <c r="A155" s="51">
        <v>37315</v>
      </c>
      <c r="B155" s="64"/>
      <c r="C155" s="61">
        <v>1103.3449569999998</v>
      </c>
      <c r="D155" s="53"/>
      <c r="E155" s="37"/>
      <c r="F155" s="37"/>
    </row>
    <row r="156" spans="1:6" s="52" customFormat="1" ht="13.5" customHeight="1" x14ac:dyDescent="0.35">
      <c r="A156" s="51">
        <v>37346</v>
      </c>
      <c r="B156" s="64"/>
      <c r="C156" s="61">
        <v>1032.6782470000001</v>
      </c>
      <c r="D156" s="53"/>
      <c r="E156" s="37"/>
      <c r="F156" s="37"/>
    </row>
    <row r="157" spans="1:6" s="52" customFormat="1" ht="12.75" customHeight="1" x14ac:dyDescent="0.35">
      <c r="A157" s="51">
        <v>37376</v>
      </c>
      <c r="B157" s="64"/>
      <c r="C157" s="61">
        <v>1096.9443649999998</v>
      </c>
      <c r="D157" s="53"/>
      <c r="E157" s="37"/>
      <c r="F157" s="37"/>
    </row>
    <row r="158" spans="1:6" s="52" customFormat="1" ht="13.5" customHeight="1" x14ac:dyDescent="0.35">
      <c r="A158" s="51">
        <v>37407</v>
      </c>
      <c r="B158" s="64"/>
      <c r="C158" s="61">
        <v>1124.1205530000002</v>
      </c>
      <c r="D158" s="53"/>
      <c r="E158" s="37"/>
      <c r="F158" s="37"/>
    </row>
    <row r="159" spans="1:6" s="52" customFormat="1" ht="13.5" customHeight="1" x14ac:dyDescent="0.35">
      <c r="A159" s="51">
        <v>37437</v>
      </c>
      <c r="B159" s="64"/>
      <c r="C159" s="61">
        <v>1173.3705009999999</v>
      </c>
      <c r="D159" s="53"/>
      <c r="E159" s="37"/>
      <c r="F159" s="37"/>
    </row>
    <row r="160" spans="1:6" s="52" customFormat="1" ht="13.5" customHeight="1" x14ac:dyDescent="0.35">
      <c r="A160" s="51">
        <v>37468</v>
      </c>
      <c r="B160" s="64"/>
      <c r="C160" s="61">
        <v>1171.1048310000001</v>
      </c>
      <c r="D160" s="53"/>
      <c r="E160" s="37"/>
      <c r="F160" s="37"/>
    </row>
    <row r="161" spans="1:6" s="52" customFormat="1" ht="13.5" customHeight="1" x14ac:dyDescent="0.35">
      <c r="A161" s="51">
        <v>37499</v>
      </c>
      <c r="B161" s="64"/>
      <c r="C161" s="61">
        <v>1120.489613</v>
      </c>
      <c r="D161" s="53"/>
      <c r="E161" s="37"/>
      <c r="F161" s="37"/>
    </row>
    <row r="162" spans="1:6" s="52" customFormat="1" ht="13.5" customHeight="1" x14ac:dyDescent="0.35">
      <c r="A162" s="51">
        <v>37529</v>
      </c>
      <c r="B162" s="64"/>
      <c r="C162" s="61">
        <v>1174.47</v>
      </c>
      <c r="D162" s="53"/>
      <c r="E162" s="37"/>
      <c r="F162" s="37"/>
    </row>
    <row r="163" spans="1:6" s="52" customFormat="1" ht="13.5" customHeight="1" x14ac:dyDescent="0.35">
      <c r="A163" s="51">
        <v>37560</v>
      </c>
      <c r="B163" s="64"/>
      <c r="C163" s="61">
        <v>1175.5708709999999</v>
      </c>
      <c r="D163" s="53"/>
      <c r="E163" s="37"/>
      <c r="F163" s="37"/>
    </row>
    <row r="164" spans="1:6" s="52" customFormat="1" ht="13.5" customHeight="1" x14ac:dyDescent="0.35">
      <c r="A164" s="51">
        <v>37590</v>
      </c>
      <c r="B164" s="64"/>
      <c r="C164" s="61">
        <v>1080.3299440000001</v>
      </c>
      <c r="D164" s="53"/>
      <c r="E164" s="37"/>
      <c r="F164" s="37"/>
    </row>
    <row r="165" spans="1:6" s="52" customFormat="1" ht="13.5" customHeight="1" x14ac:dyDescent="0.35">
      <c r="A165" s="51">
        <v>37621</v>
      </c>
      <c r="B165" s="64"/>
      <c r="C165" s="61">
        <v>1007.9871900000001</v>
      </c>
      <c r="D165" s="53"/>
      <c r="E165" s="37"/>
      <c r="F165" s="37"/>
    </row>
    <row r="166" spans="1:6" s="52" customFormat="1" ht="13.5" customHeight="1" x14ac:dyDescent="0.35">
      <c r="A166" s="51">
        <v>37652</v>
      </c>
      <c r="B166" s="64"/>
      <c r="C166" s="61">
        <v>1031.9491190000001</v>
      </c>
      <c r="D166" s="53"/>
      <c r="E166" s="37"/>
      <c r="F166" s="37"/>
    </row>
    <row r="167" spans="1:6" s="52" customFormat="1" ht="13.5" customHeight="1" x14ac:dyDescent="0.35">
      <c r="A167" s="51">
        <v>37680</v>
      </c>
      <c r="B167" s="64"/>
      <c r="C167" s="61">
        <v>913.24408499999981</v>
      </c>
      <c r="D167" s="53"/>
      <c r="E167" s="37"/>
      <c r="F167" s="37"/>
    </row>
    <row r="168" spans="1:6" s="52" customFormat="1" ht="13.5" customHeight="1" x14ac:dyDescent="0.35">
      <c r="A168" s="51">
        <v>37711</v>
      </c>
      <c r="B168" s="64"/>
      <c r="C168" s="61">
        <v>1053.9443310000004</v>
      </c>
      <c r="D168" s="53"/>
      <c r="E168" s="37"/>
      <c r="F168" s="37"/>
    </row>
    <row r="169" spans="1:6" s="52" customFormat="1" ht="13.5" customHeight="1" x14ac:dyDescent="0.35">
      <c r="A169" s="51">
        <v>37741</v>
      </c>
      <c r="B169" s="64"/>
      <c r="C169" s="61">
        <v>1134.0370809999999</v>
      </c>
      <c r="D169" s="53"/>
      <c r="E169" s="37"/>
      <c r="F169" s="37"/>
    </row>
    <row r="170" spans="1:6" s="52" customFormat="1" ht="13.5" customHeight="1" x14ac:dyDescent="0.35">
      <c r="A170" s="51">
        <v>37772</v>
      </c>
      <c r="B170" s="64"/>
      <c r="C170" s="61">
        <v>1090.755042</v>
      </c>
      <c r="D170" s="53"/>
      <c r="E170" s="37"/>
      <c r="F170" s="37"/>
    </row>
    <row r="171" spans="1:6" s="52" customFormat="1" ht="13.5" customHeight="1" x14ac:dyDescent="0.35">
      <c r="A171" s="51">
        <v>37802</v>
      </c>
      <c r="B171" s="64"/>
      <c r="C171" s="61">
        <v>1054.1761650000003</v>
      </c>
      <c r="D171" s="53"/>
      <c r="E171" s="37"/>
      <c r="F171" s="37"/>
    </row>
    <row r="172" spans="1:6" s="52" customFormat="1" ht="13.5" customHeight="1" x14ac:dyDescent="0.35">
      <c r="A172" s="51">
        <v>37833</v>
      </c>
      <c r="B172" s="64"/>
      <c r="C172" s="61">
        <v>1190.583124</v>
      </c>
      <c r="D172" s="53"/>
      <c r="E172" s="37"/>
      <c r="F172" s="37"/>
    </row>
    <row r="173" spans="1:6" s="52" customFormat="1" ht="13.5" customHeight="1" x14ac:dyDescent="0.35">
      <c r="A173" s="51">
        <v>37864</v>
      </c>
      <c r="B173" s="64"/>
      <c r="C173" s="61">
        <v>1229.3117730000001</v>
      </c>
      <c r="D173" s="53"/>
      <c r="E173" s="37"/>
      <c r="F173" s="37"/>
    </row>
    <row r="174" spans="1:6" s="52" customFormat="1" ht="13.5" customHeight="1" x14ac:dyDescent="0.35">
      <c r="A174" s="51">
        <v>37894</v>
      </c>
      <c r="B174" s="64"/>
      <c r="C174" s="61">
        <v>1318.3500000000001</v>
      </c>
      <c r="D174" s="53"/>
      <c r="E174" s="37"/>
      <c r="F174" s="37"/>
    </row>
    <row r="175" spans="1:6" s="52" customFormat="1" ht="13.5" customHeight="1" x14ac:dyDescent="0.35">
      <c r="A175" s="51">
        <v>37925</v>
      </c>
      <c r="B175" s="64"/>
      <c r="C175" s="61">
        <v>1379.1699999999998</v>
      </c>
      <c r="D175" s="53"/>
      <c r="E175" s="37"/>
      <c r="F175" s="37"/>
    </row>
    <row r="176" spans="1:6" s="52" customFormat="1" ht="13.5" customHeight="1" x14ac:dyDescent="0.35">
      <c r="A176" s="51">
        <v>37955</v>
      </c>
      <c r="B176" s="64"/>
      <c r="C176" s="61">
        <v>1365.4043080000001</v>
      </c>
      <c r="D176" s="53"/>
      <c r="E176" s="37"/>
      <c r="F176" s="37"/>
    </row>
    <row r="177" spans="1:6" s="52" customFormat="1" ht="13.5" customHeight="1" x14ac:dyDescent="0.35">
      <c r="A177" s="51">
        <v>37986</v>
      </c>
      <c r="B177" s="64"/>
      <c r="C177" s="61">
        <v>1160.4024779999997</v>
      </c>
      <c r="D177" s="53"/>
      <c r="E177" s="37"/>
      <c r="F177" s="37"/>
    </row>
    <row r="178" spans="1:6" s="52" customFormat="1" ht="13.5" customHeight="1" x14ac:dyDescent="0.35">
      <c r="A178" s="51">
        <v>38017</v>
      </c>
      <c r="B178" s="64"/>
      <c r="C178" s="61">
        <v>1240.42</v>
      </c>
      <c r="D178" s="53"/>
      <c r="E178" s="37"/>
      <c r="F178" s="37"/>
    </row>
    <row r="179" spans="1:6" s="52" customFormat="1" ht="14.25" customHeight="1" x14ac:dyDescent="0.35">
      <c r="A179" s="51">
        <v>38046</v>
      </c>
      <c r="B179" s="64"/>
      <c r="C179" s="61">
        <v>1206.5700000000002</v>
      </c>
      <c r="D179" s="53"/>
      <c r="E179" s="37"/>
      <c r="F179" s="37"/>
    </row>
    <row r="180" spans="1:6" s="52" customFormat="1" ht="14.25" customHeight="1" x14ac:dyDescent="0.35">
      <c r="A180" s="51">
        <v>38077</v>
      </c>
      <c r="B180" s="64"/>
      <c r="C180" s="61">
        <v>1181.6199999999994</v>
      </c>
      <c r="D180" s="53"/>
      <c r="E180" s="37"/>
      <c r="F180" s="37"/>
    </row>
    <row r="181" spans="1:6" s="52" customFormat="1" ht="13.5" customHeight="1" x14ac:dyDescent="0.35">
      <c r="A181" s="51">
        <v>38107</v>
      </c>
      <c r="B181" s="64"/>
      <c r="C181" s="61">
        <v>1236.06</v>
      </c>
      <c r="D181" s="53"/>
      <c r="E181" s="37"/>
      <c r="F181" s="37"/>
    </row>
    <row r="182" spans="1:6" s="52" customFormat="1" ht="13.5" customHeight="1" x14ac:dyDescent="0.35">
      <c r="A182" s="51">
        <v>38138</v>
      </c>
      <c r="B182" s="64"/>
      <c r="C182" s="61">
        <v>1232.9817969999999</v>
      </c>
      <c r="D182" s="53"/>
      <c r="E182" s="37"/>
      <c r="F182" s="37"/>
    </row>
    <row r="183" spans="1:6" s="52" customFormat="1" ht="13.5" customHeight="1" x14ac:dyDescent="0.35">
      <c r="A183" s="51">
        <v>38168</v>
      </c>
      <c r="B183" s="64"/>
      <c r="C183" s="61">
        <v>1216.809769</v>
      </c>
      <c r="D183" s="53"/>
      <c r="E183" s="37"/>
      <c r="F183" s="37"/>
    </row>
    <row r="184" spans="1:6" s="52" customFormat="1" ht="13.5" customHeight="1" x14ac:dyDescent="0.35">
      <c r="A184" s="51">
        <v>38199</v>
      </c>
      <c r="B184" s="64"/>
      <c r="C184" s="61">
        <v>1319.3095449999998</v>
      </c>
      <c r="D184" s="53"/>
      <c r="E184" s="37"/>
      <c r="F184" s="37"/>
    </row>
    <row r="185" spans="1:6" s="52" customFormat="1" ht="12.75" customHeight="1" x14ac:dyDescent="0.35">
      <c r="A185" s="51">
        <v>38230</v>
      </c>
      <c r="B185" s="64"/>
      <c r="C185" s="61">
        <v>1370.7371930000002</v>
      </c>
      <c r="D185" s="53"/>
      <c r="E185" s="37"/>
      <c r="F185" s="37"/>
    </row>
    <row r="186" spans="1:6" s="52" customFormat="1" ht="13.5" customHeight="1" x14ac:dyDescent="0.35">
      <c r="A186" s="51">
        <v>38260</v>
      </c>
      <c r="B186" s="64"/>
      <c r="C186" s="61">
        <v>1530.841095</v>
      </c>
      <c r="D186" s="53"/>
      <c r="E186" s="37"/>
      <c r="F186" s="37"/>
    </row>
    <row r="187" spans="1:6" s="52" customFormat="1" ht="13.5" customHeight="1" x14ac:dyDescent="0.35">
      <c r="A187" s="51">
        <v>38291</v>
      </c>
      <c r="B187" s="64"/>
      <c r="C187" s="61">
        <v>1614.5379380000002</v>
      </c>
      <c r="D187" s="53"/>
      <c r="E187" s="37"/>
      <c r="F187" s="37"/>
    </row>
    <row r="188" spans="1:6" ht="13.5" customHeight="1" x14ac:dyDescent="0.35">
      <c r="A188" s="51">
        <v>38321</v>
      </c>
      <c r="B188" s="64"/>
      <c r="C188" s="61">
        <v>1549.3114880000003</v>
      </c>
      <c r="D188" s="53"/>
    </row>
    <row r="189" spans="1:6" ht="13.5" customHeight="1" x14ac:dyDescent="0.35">
      <c r="A189" s="51">
        <v>38352</v>
      </c>
      <c r="B189" s="64"/>
      <c r="C189" s="61">
        <v>1437.32</v>
      </c>
      <c r="D189" s="53"/>
    </row>
    <row r="190" spans="1:6" ht="13.5" customHeight="1" x14ac:dyDescent="0.35">
      <c r="A190" s="51">
        <v>38383</v>
      </c>
      <c r="B190" s="64"/>
      <c r="C190" s="61">
        <v>1506.8452490000002</v>
      </c>
    </row>
    <row r="191" spans="1:6" ht="13.5" customHeight="1" x14ac:dyDescent="0.35">
      <c r="A191" s="51">
        <v>38411</v>
      </c>
      <c r="B191" s="64"/>
      <c r="C191" s="61">
        <v>1357.240333</v>
      </c>
      <c r="D191" s="53"/>
    </row>
    <row r="192" spans="1:6" ht="13.5" customHeight="1" x14ac:dyDescent="0.35">
      <c r="A192" s="51">
        <v>38442</v>
      </c>
      <c r="B192" s="64"/>
      <c r="C192" s="61">
        <v>1386.5</v>
      </c>
      <c r="D192" s="53"/>
    </row>
    <row r="193" spans="1:6" ht="13.5" customHeight="1" x14ac:dyDescent="0.35">
      <c r="A193" s="51">
        <v>38472</v>
      </c>
      <c r="B193" s="64"/>
      <c r="C193" s="61">
        <v>1701.810655</v>
      </c>
      <c r="D193" s="53"/>
    </row>
    <row r="194" spans="1:6" s="52" customFormat="1" ht="13.5" customHeight="1" x14ac:dyDescent="0.35">
      <c r="A194" s="51">
        <v>38503</v>
      </c>
      <c r="B194" s="64"/>
      <c r="C194" s="61">
        <v>1526.0233840000001</v>
      </c>
      <c r="D194" s="53"/>
      <c r="E194" s="37"/>
      <c r="F194" s="37"/>
    </row>
    <row r="195" spans="1:6" s="54" customFormat="1" ht="13.5" customHeight="1" x14ac:dyDescent="0.35">
      <c r="A195" s="51">
        <v>38533</v>
      </c>
      <c r="B195" s="64"/>
      <c r="C195" s="61">
        <v>1586.2269249999999</v>
      </c>
      <c r="D195" s="53"/>
      <c r="E195" s="37"/>
    </row>
    <row r="196" spans="1:6" s="54" customFormat="1" ht="13.5" customHeight="1" x14ac:dyDescent="0.35">
      <c r="A196" s="51">
        <v>38564</v>
      </c>
      <c r="B196" s="64"/>
      <c r="C196" s="61">
        <v>1787.8650730000002</v>
      </c>
      <c r="D196" s="53"/>
      <c r="E196" s="37"/>
    </row>
    <row r="197" spans="1:6" s="52" customFormat="1" ht="15" customHeight="1" x14ac:dyDescent="0.35">
      <c r="A197" s="51">
        <v>38595</v>
      </c>
      <c r="B197" s="64"/>
      <c r="C197" s="61">
        <v>1848.0851090000001</v>
      </c>
      <c r="D197" s="53"/>
      <c r="E197" s="37"/>
      <c r="F197" s="37"/>
    </row>
    <row r="198" spans="1:6" s="52" customFormat="1" ht="13.5" customHeight="1" x14ac:dyDescent="0.35">
      <c r="A198" s="51">
        <v>38625</v>
      </c>
      <c r="B198" s="64"/>
      <c r="C198" s="61">
        <v>1967.7857309999999</v>
      </c>
      <c r="D198" s="53"/>
      <c r="E198" s="37"/>
      <c r="F198" s="37"/>
    </row>
    <row r="199" spans="1:6" s="52" customFormat="1" ht="13.5" customHeight="1" x14ac:dyDescent="0.35">
      <c r="A199" s="51">
        <v>38656</v>
      </c>
      <c r="B199" s="64"/>
      <c r="C199" s="61">
        <v>1977.7321029999998</v>
      </c>
      <c r="D199" s="53"/>
      <c r="E199" s="37"/>
      <c r="F199" s="37"/>
    </row>
    <row r="200" spans="1:6" s="52" customFormat="1" ht="13.5" customHeight="1" x14ac:dyDescent="0.35">
      <c r="A200" s="51">
        <v>38686</v>
      </c>
      <c r="B200" s="64"/>
      <c r="C200" s="61">
        <v>1983.2322939999999</v>
      </c>
      <c r="D200" s="53"/>
      <c r="E200" s="37"/>
      <c r="F200" s="37"/>
    </row>
    <row r="201" spans="1:6" s="52" customFormat="1" ht="13.5" customHeight="1" x14ac:dyDescent="0.35">
      <c r="A201" s="51">
        <v>38717</v>
      </c>
      <c r="B201" s="64"/>
      <c r="C201" s="61">
        <v>2146.8973780000001</v>
      </c>
      <c r="D201" s="53"/>
      <c r="E201" s="37"/>
      <c r="F201" s="37"/>
    </row>
    <row r="202" spans="1:6" s="52" customFormat="1" ht="13.5" customHeight="1" x14ac:dyDescent="0.35">
      <c r="A202" s="51">
        <v>38748</v>
      </c>
      <c r="B202" s="64"/>
      <c r="C202" s="61">
        <v>1939.9202560000001</v>
      </c>
      <c r="D202" s="53"/>
      <c r="E202" s="37"/>
      <c r="F202" s="37"/>
    </row>
    <row r="203" spans="1:6" s="52" customFormat="1" ht="13.5" customHeight="1" x14ac:dyDescent="0.35">
      <c r="A203" s="51">
        <v>38776</v>
      </c>
      <c r="B203" s="64"/>
      <c r="C203" s="61">
        <v>1913.4878289999999</v>
      </c>
      <c r="D203" s="53"/>
      <c r="E203" s="37"/>
      <c r="F203" s="37"/>
    </row>
    <row r="204" spans="1:6" s="52" customFormat="1" ht="13.5" customHeight="1" x14ac:dyDescent="0.35">
      <c r="A204" s="51">
        <v>38807</v>
      </c>
      <c r="B204" s="64"/>
      <c r="C204" s="61">
        <v>2350.7400000000002</v>
      </c>
      <c r="D204" s="53"/>
      <c r="E204" s="37"/>
      <c r="F204" s="37"/>
    </row>
    <row r="205" spans="1:6" s="52" customFormat="1" ht="13.5" customHeight="1" x14ac:dyDescent="0.35">
      <c r="A205" s="51">
        <v>38837</v>
      </c>
      <c r="B205" s="64"/>
      <c r="C205" s="61">
        <v>2701.3299999999995</v>
      </c>
      <c r="D205" s="53"/>
      <c r="E205" s="37"/>
      <c r="F205" s="37"/>
    </row>
    <row r="206" spans="1:6" s="52" customFormat="1" ht="13.5" customHeight="1" x14ac:dyDescent="0.35">
      <c r="A206" s="51">
        <v>38868</v>
      </c>
      <c r="B206" s="64"/>
      <c r="C206" s="61">
        <v>2229.7315230000004</v>
      </c>
      <c r="D206" s="53"/>
      <c r="E206" s="37"/>
      <c r="F206" s="37"/>
    </row>
    <row r="207" spans="1:6" s="52" customFormat="1" ht="13.5" customHeight="1" x14ac:dyDescent="0.35">
      <c r="A207" s="51">
        <v>38898</v>
      </c>
      <c r="B207" s="64"/>
      <c r="C207" s="61">
        <v>2264.1</v>
      </c>
      <c r="D207" s="53"/>
      <c r="E207" s="37"/>
      <c r="F207" s="37"/>
    </row>
    <row r="208" spans="1:6" s="52" customFormat="1" ht="13.5" customHeight="1" x14ac:dyDescent="0.35">
      <c r="A208" s="51">
        <v>38929</v>
      </c>
      <c r="B208" s="64"/>
      <c r="C208" s="61">
        <v>2398.8000000000002</v>
      </c>
      <c r="D208" s="53"/>
      <c r="E208" s="37"/>
      <c r="F208" s="37"/>
    </row>
    <row r="209" spans="1:6" s="52" customFormat="1" ht="13.5" customHeight="1" x14ac:dyDescent="0.35">
      <c r="A209" s="51">
        <v>38960</v>
      </c>
      <c r="B209" s="64"/>
      <c r="C209" s="61">
        <v>2660.17</v>
      </c>
      <c r="D209" s="53"/>
      <c r="E209" s="37"/>
      <c r="F209" s="37"/>
    </row>
    <row r="210" spans="1:6" s="52" customFormat="1" ht="13.5" customHeight="1" x14ac:dyDescent="0.35">
      <c r="A210" s="51">
        <v>38990</v>
      </c>
      <c r="B210" s="64"/>
      <c r="C210" s="61">
        <v>2853.8014210000001</v>
      </c>
      <c r="D210" s="53"/>
      <c r="E210" s="37"/>
      <c r="F210" s="37"/>
    </row>
    <row r="211" spans="1:6" s="52" customFormat="1" ht="13.5" customHeight="1" x14ac:dyDescent="0.35">
      <c r="A211" s="51">
        <v>39021</v>
      </c>
      <c r="B211" s="64"/>
      <c r="C211" s="61">
        <v>2991.68</v>
      </c>
      <c r="D211" s="53"/>
      <c r="E211" s="37"/>
      <c r="F211" s="37"/>
    </row>
    <row r="212" spans="1:6" s="52" customFormat="1" ht="13.5" customHeight="1" x14ac:dyDescent="0.35">
      <c r="A212" s="51">
        <v>39051</v>
      </c>
      <c r="B212" s="64"/>
      <c r="C212" s="61">
        <v>2412.9700000000003</v>
      </c>
      <c r="D212" s="53"/>
      <c r="E212" s="37"/>
      <c r="F212" s="37"/>
    </row>
    <row r="213" spans="1:6" s="52" customFormat="1" ht="13.5" customHeight="1" x14ac:dyDescent="0.35">
      <c r="A213" s="51">
        <v>39082</v>
      </c>
      <c r="B213" s="64"/>
      <c r="C213" s="61">
        <v>2023.34</v>
      </c>
      <c r="D213" s="53"/>
      <c r="E213" s="37"/>
      <c r="F213" s="37"/>
    </row>
    <row r="214" spans="1:6" s="52" customFormat="1" ht="13.5" customHeight="1" x14ac:dyDescent="0.35">
      <c r="A214" s="51">
        <v>39113</v>
      </c>
      <c r="B214" s="64"/>
      <c r="C214" s="61">
        <v>2124.0500000000002</v>
      </c>
      <c r="D214" s="53"/>
      <c r="E214" s="37"/>
      <c r="F214" s="37"/>
    </row>
    <row r="215" spans="1:6" s="52" customFormat="1" ht="13.5" customHeight="1" x14ac:dyDescent="0.35">
      <c r="A215" s="51">
        <v>39141</v>
      </c>
      <c r="B215" s="64"/>
      <c r="C215" s="61">
        <v>2468.6799999999998</v>
      </c>
      <c r="D215" s="53"/>
      <c r="E215" s="37"/>
      <c r="F215" s="37"/>
    </row>
    <row r="216" spans="1:6" s="52" customFormat="1" ht="13.5" customHeight="1" x14ac:dyDescent="0.35">
      <c r="A216" s="51">
        <v>39172</v>
      </c>
      <c r="B216" s="64"/>
      <c r="C216" s="61">
        <v>2182.3700000000003</v>
      </c>
      <c r="D216" s="53"/>
      <c r="E216" s="37"/>
      <c r="F216" s="37"/>
    </row>
    <row r="217" spans="1:6" s="52" customFormat="1" ht="13.5" customHeight="1" x14ac:dyDescent="0.35">
      <c r="A217" s="51">
        <v>39202</v>
      </c>
      <c r="B217" s="64"/>
      <c r="C217" s="61">
        <v>2801.2299999999996</v>
      </c>
      <c r="D217" s="53"/>
      <c r="E217" s="37"/>
      <c r="F217" s="37"/>
    </row>
    <row r="218" spans="1:6" s="52" customFormat="1" ht="13.5" customHeight="1" x14ac:dyDescent="0.35">
      <c r="A218" s="51">
        <v>39233</v>
      </c>
      <c r="B218" s="64"/>
      <c r="C218" s="61">
        <v>3076.34</v>
      </c>
      <c r="D218" s="53"/>
      <c r="E218" s="37"/>
      <c r="F218" s="37"/>
    </row>
    <row r="219" spans="1:6" s="52" customFormat="1" ht="13.5" customHeight="1" x14ac:dyDescent="0.35">
      <c r="A219" s="51">
        <v>39263</v>
      </c>
      <c r="B219" s="64"/>
      <c r="C219" s="61">
        <v>3204.3800000000006</v>
      </c>
      <c r="D219" s="53"/>
      <c r="E219" s="37"/>
      <c r="F219" s="37"/>
    </row>
    <row r="220" spans="1:6" s="52" customFormat="1" ht="13.5" customHeight="1" x14ac:dyDescent="0.35">
      <c r="A220" s="51">
        <v>39294</v>
      </c>
      <c r="B220" s="64"/>
      <c r="C220" s="61">
        <v>3440.77</v>
      </c>
      <c r="D220" s="53"/>
      <c r="E220" s="37"/>
      <c r="F220" s="37"/>
    </row>
    <row r="221" spans="1:6" s="52" customFormat="1" ht="13.5" customHeight="1" x14ac:dyDescent="0.35">
      <c r="A221" s="51">
        <v>39325</v>
      </c>
      <c r="B221" s="64"/>
      <c r="C221" s="61">
        <v>3510.0699999999997</v>
      </c>
      <c r="D221" s="53"/>
      <c r="E221" s="37"/>
      <c r="F221" s="37"/>
    </row>
    <row r="222" spans="1:6" s="52" customFormat="1" ht="13.5" customHeight="1" x14ac:dyDescent="0.35">
      <c r="A222" s="51">
        <v>39355</v>
      </c>
      <c r="B222" s="64"/>
      <c r="C222" s="61">
        <v>3611.12</v>
      </c>
      <c r="D222" s="53"/>
      <c r="E222" s="37"/>
      <c r="F222" s="37"/>
    </row>
    <row r="223" spans="1:6" s="52" customFormat="1" ht="13.5" customHeight="1" x14ac:dyDescent="0.35">
      <c r="A223" s="51">
        <v>39386</v>
      </c>
      <c r="B223" s="64"/>
      <c r="C223" s="61">
        <v>3690.85</v>
      </c>
      <c r="D223" s="53"/>
      <c r="E223" s="37"/>
      <c r="F223" s="37"/>
    </row>
    <row r="224" spans="1:6" s="52" customFormat="1" ht="13.5" customHeight="1" x14ac:dyDescent="0.35">
      <c r="A224" s="51">
        <v>39416</v>
      </c>
      <c r="B224" s="64"/>
      <c r="C224" s="61">
        <v>3617.7799999999997</v>
      </c>
      <c r="D224" s="53"/>
      <c r="E224" s="37"/>
      <c r="F224" s="37"/>
    </row>
    <row r="225" spans="1:6" s="52" customFormat="1" ht="13.5" customHeight="1" x14ac:dyDescent="0.35">
      <c r="A225" s="51">
        <v>39447</v>
      </c>
      <c r="B225" s="64"/>
      <c r="C225" s="61">
        <v>3520.84</v>
      </c>
      <c r="D225" s="53"/>
      <c r="E225" s="37"/>
      <c r="F225" s="37"/>
    </row>
    <row r="226" spans="1:6" s="52" customFormat="1" ht="13.5" customHeight="1" x14ac:dyDescent="0.35">
      <c r="A226" s="51">
        <v>39478</v>
      </c>
      <c r="B226" s="64"/>
      <c r="C226" s="61">
        <v>3511.0512559999997</v>
      </c>
      <c r="D226" s="53"/>
      <c r="E226" s="37"/>
      <c r="F226" s="37"/>
    </row>
    <row r="227" spans="1:6" s="52" customFormat="1" ht="13.5" customHeight="1" x14ac:dyDescent="0.35">
      <c r="A227" s="51">
        <v>39507</v>
      </c>
      <c r="B227" s="64"/>
      <c r="C227" s="61">
        <v>3989.4212299999999</v>
      </c>
      <c r="D227" s="53"/>
      <c r="E227" s="37"/>
      <c r="F227" s="37"/>
    </row>
    <row r="228" spans="1:6" s="52" customFormat="1" ht="13.5" customHeight="1" x14ac:dyDescent="0.35">
      <c r="A228" s="51">
        <v>39538</v>
      </c>
      <c r="B228" s="64"/>
      <c r="C228" s="61">
        <v>4143.54</v>
      </c>
      <c r="D228" s="53"/>
      <c r="E228" s="37"/>
      <c r="F228" s="37"/>
    </row>
    <row r="229" spans="1:6" s="52" customFormat="1" ht="13.5" customHeight="1" x14ac:dyDescent="0.35">
      <c r="A229" s="51">
        <v>39568</v>
      </c>
      <c r="B229" s="64"/>
      <c r="C229" s="61">
        <v>5599.1133959999997</v>
      </c>
      <c r="D229" s="53"/>
      <c r="E229" s="37"/>
      <c r="F229" s="37"/>
    </row>
    <row r="230" spans="1:6" ht="13.5" customHeight="1" x14ac:dyDescent="0.35">
      <c r="A230" s="51">
        <v>39599</v>
      </c>
      <c r="B230" s="64"/>
      <c r="C230" s="61">
        <v>5874.7228610000002</v>
      </c>
      <c r="D230" s="53"/>
    </row>
    <row r="231" spans="1:6" ht="13.5" customHeight="1" x14ac:dyDescent="0.35">
      <c r="A231" s="51">
        <v>39629</v>
      </c>
      <c r="B231" s="64"/>
      <c r="C231" s="61">
        <v>6103.1229109999995</v>
      </c>
      <c r="D231" s="55"/>
    </row>
    <row r="232" spans="1:6" ht="13.5" customHeight="1" x14ac:dyDescent="0.35">
      <c r="A232" s="51">
        <v>39660</v>
      </c>
      <c r="B232" s="64"/>
      <c r="C232" s="61">
        <v>6161.4124189999993</v>
      </c>
      <c r="D232" s="53"/>
    </row>
    <row r="233" spans="1:6" ht="13.5" customHeight="1" x14ac:dyDescent="0.35">
      <c r="A233" s="51">
        <v>39691</v>
      </c>
      <c r="B233" s="64"/>
      <c r="C233" s="61">
        <v>6372.3133219999991</v>
      </c>
      <c r="D233" s="53"/>
    </row>
    <row r="234" spans="1:6" ht="13.5" customHeight="1" x14ac:dyDescent="0.35">
      <c r="A234" s="51">
        <v>39721</v>
      </c>
      <c r="B234" s="64"/>
      <c r="C234" s="61">
        <v>6511.4455799999996</v>
      </c>
      <c r="D234" s="53"/>
    </row>
    <row r="235" spans="1:6" ht="13.5" customHeight="1" x14ac:dyDescent="0.35">
      <c r="A235" s="51">
        <v>39752</v>
      </c>
      <c r="B235" s="64"/>
      <c r="C235" s="61">
        <v>6273.5616729999992</v>
      </c>
      <c r="D235" s="53"/>
    </row>
    <row r="236" spans="1:6" ht="13.5" customHeight="1" x14ac:dyDescent="0.35">
      <c r="A236" s="51">
        <v>39782</v>
      </c>
      <c r="B236" s="64"/>
      <c r="C236" s="61">
        <v>6011.4973030000001</v>
      </c>
      <c r="D236" s="53"/>
    </row>
    <row r="237" spans="1:6" ht="13.5" customHeight="1" x14ac:dyDescent="0.35">
      <c r="A237" s="51">
        <v>39813</v>
      </c>
      <c r="B237" s="64"/>
      <c r="C237" s="61">
        <v>4473.0690229999991</v>
      </c>
      <c r="D237" s="53"/>
    </row>
    <row r="238" spans="1:6" ht="14.25" customHeight="1" x14ac:dyDescent="0.35">
      <c r="A238" s="51">
        <v>39844</v>
      </c>
      <c r="B238" s="64"/>
      <c r="C238" s="61">
        <v>4271.6177530000004</v>
      </c>
      <c r="D238" s="53"/>
    </row>
    <row r="239" spans="1:6" ht="13.5" customHeight="1" x14ac:dyDescent="0.35">
      <c r="A239" s="51">
        <v>39872</v>
      </c>
      <c r="B239" s="64"/>
      <c r="C239" s="61">
        <v>3996.5062069999999</v>
      </c>
      <c r="D239" s="53"/>
    </row>
    <row r="240" spans="1:6" ht="13.5" customHeight="1" x14ac:dyDescent="0.35">
      <c r="A240" s="51">
        <v>39903</v>
      </c>
      <c r="B240" s="64"/>
      <c r="C240" s="61">
        <v>3244.0725940000002</v>
      </c>
      <c r="D240" s="53"/>
    </row>
    <row r="241" spans="1:6" ht="13.5" customHeight="1" x14ac:dyDescent="0.35">
      <c r="A241" s="51">
        <v>39933</v>
      </c>
      <c r="B241" s="64"/>
      <c r="C241" s="61">
        <v>3142.264651</v>
      </c>
      <c r="D241" s="53"/>
    </row>
    <row r="242" spans="1:6" ht="13.5" customHeight="1" x14ac:dyDescent="0.35">
      <c r="A242" s="51">
        <v>39964</v>
      </c>
      <c r="B242" s="64"/>
      <c r="C242" s="61">
        <v>2594.3993459999997</v>
      </c>
      <c r="D242" s="53"/>
    </row>
    <row r="243" spans="1:6" s="52" customFormat="1" ht="14.15" customHeight="1" x14ac:dyDescent="0.35">
      <c r="A243" s="51">
        <v>39994</v>
      </c>
      <c r="B243" s="64"/>
      <c r="C243" s="61">
        <v>2675.0155360000003</v>
      </c>
      <c r="D243" s="53"/>
      <c r="E243" s="37"/>
      <c r="F243" s="37"/>
    </row>
    <row r="244" spans="1:6" s="52" customFormat="1" ht="14.15" customHeight="1" x14ac:dyDescent="0.35">
      <c r="A244" s="51">
        <v>40025</v>
      </c>
      <c r="B244" s="64"/>
      <c r="C244" s="61">
        <v>3151.7757340000003</v>
      </c>
      <c r="D244" s="53"/>
      <c r="E244" s="37"/>
      <c r="F244" s="37"/>
    </row>
    <row r="245" spans="1:6" s="52" customFormat="1" ht="14.15" customHeight="1" x14ac:dyDescent="0.35">
      <c r="A245" s="51">
        <v>40056</v>
      </c>
      <c r="B245" s="64"/>
      <c r="C245" s="61">
        <v>3921.5956430000001</v>
      </c>
      <c r="D245" s="53"/>
      <c r="E245" s="37"/>
      <c r="F245" s="37"/>
    </row>
    <row r="246" spans="1:6" s="52" customFormat="1" ht="14.15" customHeight="1" x14ac:dyDescent="0.35">
      <c r="A246" s="51">
        <v>40086</v>
      </c>
      <c r="B246" s="64"/>
      <c r="C246" s="61">
        <v>4624.7092720000001</v>
      </c>
      <c r="D246" s="53"/>
      <c r="E246" s="37"/>
      <c r="F246" s="37"/>
    </row>
    <row r="247" spans="1:6" s="52" customFormat="1" ht="14.15" customHeight="1" x14ac:dyDescent="0.35">
      <c r="A247" s="51">
        <v>40117</v>
      </c>
      <c r="B247" s="64"/>
      <c r="C247" s="61">
        <v>4604.7854560000005</v>
      </c>
      <c r="D247" s="53"/>
      <c r="E247" s="37"/>
      <c r="F247" s="37"/>
    </row>
    <row r="248" spans="1:6" s="52" customFormat="1" ht="14.15" customHeight="1" x14ac:dyDescent="0.35">
      <c r="A248" s="51">
        <v>40147</v>
      </c>
      <c r="B248" s="64"/>
      <c r="C248" s="61">
        <v>5236.6674000000003</v>
      </c>
      <c r="D248" s="53"/>
      <c r="E248" s="37"/>
      <c r="F248" s="37"/>
    </row>
    <row r="249" spans="1:6" s="52" customFormat="1" ht="14.15" customHeight="1" x14ac:dyDescent="0.35">
      <c r="A249" s="51">
        <v>40178</v>
      </c>
      <c r="B249" s="64"/>
      <c r="C249" s="61">
        <v>3792.0509440000001</v>
      </c>
      <c r="D249" s="53"/>
      <c r="E249" s="37"/>
      <c r="F249" s="37"/>
    </row>
    <row r="250" spans="1:6" s="52" customFormat="1" ht="14.15" customHeight="1" x14ac:dyDescent="0.35">
      <c r="A250" s="51">
        <v>40209</v>
      </c>
      <c r="B250" s="64"/>
      <c r="C250" s="61">
        <v>3918.2043509999999</v>
      </c>
      <c r="D250" s="53"/>
      <c r="E250" s="37"/>
      <c r="F250" s="37"/>
    </row>
    <row r="251" spans="1:6" s="52" customFormat="1" ht="14.15" customHeight="1" x14ac:dyDescent="0.35">
      <c r="A251" s="51">
        <v>40237</v>
      </c>
      <c r="B251" s="64"/>
      <c r="C251" s="61">
        <v>3602.9901529999993</v>
      </c>
      <c r="D251" s="53"/>
      <c r="E251" s="37"/>
      <c r="F251" s="37"/>
    </row>
    <row r="252" spans="1:6" s="52" customFormat="1" ht="14.15" customHeight="1" x14ac:dyDescent="0.35">
      <c r="A252" s="51">
        <v>40268</v>
      </c>
      <c r="B252" s="64"/>
      <c r="C252" s="61">
        <v>4007.1</v>
      </c>
      <c r="D252" s="53"/>
      <c r="E252" s="37"/>
      <c r="F252" s="37"/>
    </row>
    <row r="253" spans="1:6" s="52" customFormat="1" ht="14.15" customHeight="1" x14ac:dyDescent="0.35">
      <c r="A253" s="51">
        <v>40298</v>
      </c>
      <c r="B253" s="64"/>
      <c r="C253" s="61">
        <v>4321.9859769999994</v>
      </c>
      <c r="D253" s="53"/>
      <c r="E253" s="37"/>
      <c r="F253" s="37"/>
    </row>
    <row r="254" spans="1:6" s="52" customFormat="1" ht="14.25" customHeight="1" x14ac:dyDescent="0.35">
      <c r="A254" s="51">
        <v>40329</v>
      </c>
      <c r="B254" s="64"/>
      <c r="C254" s="61">
        <v>4575.3279059999995</v>
      </c>
      <c r="D254" s="37"/>
      <c r="E254" s="37"/>
      <c r="F254" s="37"/>
    </row>
    <row r="255" spans="1:6" s="52" customFormat="1" ht="14" x14ac:dyDescent="0.35">
      <c r="A255" s="51">
        <v>40359</v>
      </c>
      <c r="B255" s="64"/>
      <c r="C255" s="61">
        <v>4103.5394740000002</v>
      </c>
      <c r="D255" s="37"/>
      <c r="E255" s="37"/>
      <c r="F255" s="37"/>
    </row>
    <row r="256" spans="1:6" s="52" customFormat="1" ht="14" x14ac:dyDescent="0.35">
      <c r="A256" s="51">
        <v>40390</v>
      </c>
      <c r="B256" s="64"/>
      <c r="C256" s="61">
        <v>3857.6042550000002</v>
      </c>
      <c r="D256" s="37"/>
      <c r="E256" s="37"/>
      <c r="F256" s="37"/>
    </row>
    <row r="257" spans="1:6" s="52" customFormat="1" ht="14" x14ac:dyDescent="0.35">
      <c r="A257" s="51">
        <v>40421</v>
      </c>
      <c r="B257" s="64"/>
      <c r="C257" s="61">
        <v>3490.4040810000001</v>
      </c>
      <c r="D257" s="37"/>
      <c r="E257" s="37"/>
      <c r="F257" s="37"/>
    </row>
    <row r="258" spans="1:6" s="52" customFormat="1" ht="14" x14ac:dyDescent="0.35">
      <c r="A258" s="51">
        <v>40451</v>
      </c>
      <c r="B258" s="64"/>
      <c r="C258" s="61">
        <v>4353.3703539999997</v>
      </c>
      <c r="D258" s="37"/>
      <c r="E258" s="37"/>
      <c r="F258" s="37"/>
    </row>
    <row r="259" spans="1:6" s="52" customFormat="1" ht="14" x14ac:dyDescent="0.35">
      <c r="A259" s="51">
        <v>40482</v>
      </c>
      <c r="B259" s="64"/>
      <c r="C259" s="61">
        <v>3668.8799779999995</v>
      </c>
      <c r="D259" s="37"/>
      <c r="E259" s="37"/>
      <c r="F259" s="37"/>
    </row>
    <row r="260" spans="1:6" s="52" customFormat="1" ht="14" x14ac:dyDescent="0.35">
      <c r="A260" s="51">
        <v>40512</v>
      </c>
      <c r="B260" s="64"/>
      <c r="C260" s="61">
        <v>3451.1235320000005</v>
      </c>
      <c r="D260" s="37"/>
      <c r="E260" s="37"/>
      <c r="F260" s="37"/>
    </row>
    <row r="261" spans="1:6" s="52" customFormat="1" ht="14" x14ac:dyDescent="0.35">
      <c r="A261" s="51">
        <v>40543</v>
      </c>
      <c r="B261" s="64"/>
      <c r="C261" s="61">
        <v>2622.0537079999999</v>
      </c>
      <c r="E261" s="37"/>
      <c r="F261" s="37"/>
    </row>
    <row r="262" spans="1:6" s="52" customFormat="1" ht="14" x14ac:dyDescent="0.35">
      <c r="A262" s="51">
        <v>40574</v>
      </c>
      <c r="B262" s="64"/>
      <c r="C262" s="61">
        <v>2869.4521439999999</v>
      </c>
      <c r="E262" s="37"/>
      <c r="F262" s="37"/>
    </row>
    <row r="263" spans="1:6" s="52" customFormat="1" ht="14" x14ac:dyDescent="0.35">
      <c r="A263" s="51">
        <v>40602</v>
      </c>
      <c r="B263" s="64"/>
      <c r="C263" s="61">
        <v>3906.9429440000004</v>
      </c>
      <c r="E263" s="37"/>
      <c r="F263" s="37"/>
    </row>
    <row r="264" spans="1:6" s="52" customFormat="1" ht="14" x14ac:dyDescent="0.35">
      <c r="A264" s="51">
        <v>40633</v>
      </c>
      <c r="B264" s="64"/>
      <c r="C264" s="61">
        <v>3947.4860140000001</v>
      </c>
      <c r="E264" s="37"/>
      <c r="F264" s="37"/>
    </row>
    <row r="265" spans="1:6" s="52" customFormat="1" ht="14" x14ac:dyDescent="0.35">
      <c r="A265" s="51">
        <v>40663</v>
      </c>
      <c r="B265" s="64"/>
      <c r="C265" s="61">
        <v>4164.8411400000005</v>
      </c>
      <c r="E265" s="37"/>
      <c r="F265" s="37"/>
    </row>
    <row r="266" spans="1:6" s="52" customFormat="1" ht="14" x14ac:dyDescent="0.35">
      <c r="A266" s="51">
        <v>40694</v>
      </c>
      <c r="B266" s="64"/>
      <c r="C266" s="61">
        <v>3884.3417130000003</v>
      </c>
      <c r="E266" s="37"/>
      <c r="F266" s="37"/>
    </row>
    <row r="267" spans="1:6" s="52" customFormat="1" ht="14" x14ac:dyDescent="0.35">
      <c r="A267" s="51">
        <v>40724</v>
      </c>
      <c r="B267" s="64"/>
      <c r="C267" s="61">
        <v>3841.4849830000003</v>
      </c>
      <c r="E267" s="37"/>
      <c r="F267" s="37"/>
    </row>
    <row r="268" spans="1:6" s="52" customFormat="1" ht="14" x14ac:dyDescent="0.35">
      <c r="A268" s="51">
        <v>40755</v>
      </c>
      <c r="B268" s="64"/>
      <c r="C268" s="61">
        <v>3980.6705480000005</v>
      </c>
      <c r="E268" s="37"/>
      <c r="F268" s="37"/>
    </row>
    <row r="269" spans="1:6" s="52" customFormat="1" ht="14" x14ac:dyDescent="0.35">
      <c r="A269" s="51">
        <v>40786</v>
      </c>
      <c r="B269" s="64"/>
      <c r="C269" s="61">
        <v>4124.6200679999993</v>
      </c>
      <c r="E269" s="37"/>
      <c r="F269" s="37"/>
    </row>
    <row r="270" spans="1:6" ht="14" x14ac:dyDescent="0.35">
      <c r="A270" s="51">
        <v>40816</v>
      </c>
      <c r="B270" s="64"/>
      <c r="C270" s="61">
        <v>3635.4181870000002</v>
      </c>
      <c r="D270" s="52"/>
    </row>
    <row r="271" spans="1:6" ht="14" x14ac:dyDescent="0.35">
      <c r="A271" s="51">
        <v>40847</v>
      </c>
      <c r="B271" s="64"/>
      <c r="C271" s="61">
        <v>4548.5911429999996</v>
      </c>
      <c r="D271" s="52"/>
    </row>
    <row r="272" spans="1:6" ht="14" x14ac:dyDescent="0.35">
      <c r="A272" s="51">
        <v>40877</v>
      </c>
      <c r="B272" s="64"/>
      <c r="C272" s="61">
        <v>4093.6840159999997</v>
      </c>
      <c r="D272" s="52"/>
    </row>
    <row r="273" spans="1:6" ht="14" x14ac:dyDescent="0.35">
      <c r="A273" s="51">
        <v>40908</v>
      </c>
      <c r="B273" s="64"/>
      <c r="C273" s="61">
        <v>2957.6202840000001</v>
      </c>
      <c r="D273" s="52"/>
    </row>
    <row r="274" spans="1:6" ht="14" x14ac:dyDescent="0.35">
      <c r="A274" s="51">
        <v>40939</v>
      </c>
      <c r="B274" s="64"/>
      <c r="C274" s="61">
        <v>3371.3787629999997</v>
      </c>
      <c r="D274" s="52"/>
    </row>
    <row r="275" spans="1:6" ht="14" x14ac:dyDescent="0.35">
      <c r="A275" s="51">
        <v>40968</v>
      </c>
      <c r="B275" s="64"/>
      <c r="C275" s="61">
        <v>3375.5372480000001</v>
      </c>
      <c r="D275" s="52"/>
    </row>
    <row r="276" spans="1:6" ht="14" x14ac:dyDescent="0.35">
      <c r="A276" s="51">
        <v>40999</v>
      </c>
      <c r="B276" s="64"/>
      <c r="C276" s="61">
        <v>3368.0891019999999</v>
      </c>
      <c r="D276" s="52"/>
    </row>
    <row r="277" spans="1:6" ht="14" x14ac:dyDescent="0.35">
      <c r="A277" s="51">
        <v>41029</v>
      </c>
      <c r="B277" s="64"/>
      <c r="C277" s="61">
        <v>3787.3850989999996</v>
      </c>
      <c r="D277" s="52"/>
    </row>
    <row r="278" spans="1:6" ht="14" x14ac:dyDescent="0.35">
      <c r="A278" s="51">
        <v>41060</v>
      </c>
      <c r="B278" s="64"/>
      <c r="C278" s="61">
        <v>3918.0823889999997</v>
      </c>
      <c r="D278" s="52"/>
    </row>
    <row r="279" spans="1:6" ht="14" x14ac:dyDescent="0.35">
      <c r="A279" s="51">
        <v>41090</v>
      </c>
      <c r="B279" s="64"/>
      <c r="C279" s="61">
        <v>3930.9167700000003</v>
      </c>
      <c r="D279" s="52"/>
    </row>
    <row r="280" spans="1:6" ht="14" x14ac:dyDescent="0.35">
      <c r="A280" s="51">
        <v>41121</v>
      </c>
      <c r="B280" s="64"/>
      <c r="C280" s="61">
        <v>4040.3207910000006</v>
      </c>
      <c r="D280" s="52"/>
    </row>
    <row r="281" spans="1:6" ht="14" x14ac:dyDescent="0.35">
      <c r="A281" s="51">
        <v>41152</v>
      </c>
      <c r="B281" s="64"/>
      <c r="C281" s="61">
        <v>4218.8139619999993</v>
      </c>
      <c r="D281" s="52"/>
    </row>
    <row r="282" spans="1:6" ht="14" x14ac:dyDescent="0.35">
      <c r="A282" s="51">
        <v>41182</v>
      </c>
      <c r="B282" s="64"/>
      <c r="C282" s="61">
        <v>4883.4316819999995</v>
      </c>
      <c r="D282" s="52"/>
    </row>
    <row r="283" spans="1:6" ht="14" x14ac:dyDescent="0.35">
      <c r="A283" s="51">
        <v>41213</v>
      </c>
      <c r="B283" s="64"/>
      <c r="C283" s="61">
        <v>4033.1888179999996</v>
      </c>
      <c r="D283" s="52"/>
    </row>
    <row r="284" spans="1:6" ht="14" x14ac:dyDescent="0.35">
      <c r="A284" s="51">
        <v>41243</v>
      </c>
      <c r="B284" s="64"/>
      <c r="C284" s="61">
        <v>3442.964097</v>
      </c>
      <c r="D284" s="52"/>
    </row>
    <row r="285" spans="1:6" ht="14" x14ac:dyDescent="0.35">
      <c r="A285" s="51">
        <v>41274</v>
      </c>
      <c r="B285" s="64"/>
      <c r="C285" s="61">
        <v>2482.528069</v>
      </c>
      <c r="D285" s="52"/>
    </row>
    <row r="286" spans="1:6" s="56" customFormat="1" ht="14" x14ac:dyDescent="0.35">
      <c r="A286" s="51">
        <v>41305</v>
      </c>
      <c r="B286" s="64"/>
      <c r="C286" s="61">
        <v>2827.1006069999999</v>
      </c>
      <c r="D286" s="52"/>
      <c r="E286" s="37"/>
      <c r="F286" s="37"/>
    </row>
    <row r="287" spans="1:6" s="56" customFormat="1" ht="14" x14ac:dyDescent="0.35">
      <c r="A287" s="51">
        <v>41333</v>
      </c>
      <c r="B287" s="64"/>
      <c r="C287" s="61">
        <v>4212.8118990000003</v>
      </c>
      <c r="D287" s="52"/>
      <c r="E287" s="37"/>
      <c r="F287" s="37"/>
    </row>
    <row r="288" spans="1:6" s="56" customFormat="1" ht="14" x14ac:dyDescent="0.35">
      <c r="A288" s="51">
        <v>41364</v>
      </c>
      <c r="B288" s="64"/>
      <c r="C288" s="61">
        <v>4373.0263910000003</v>
      </c>
      <c r="D288" s="52"/>
      <c r="E288" s="37"/>
      <c r="F288" s="37"/>
    </row>
    <row r="289" spans="1:6" s="56" customFormat="1" ht="14" x14ac:dyDescent="0.35">
      <c r="A289" s="51">
        <v>41394</v>
      </c>
      <c r="B289" s="64"/>
      <c r="C289" s="61">
        <v>4660.8657289999992</v>
      </c>
      <c r="D289" s="57"/>
      <c r="E289" s="37"/>
      <c r="F289" s="37"/>
    </row>
    <row r="290" spans="1:6" s="56" customFormat="1" ht="14" x14ac:dyDescent="0.35">
      <c r="A290" s="51">
        <v>41425</v>
      </c>
      <c r="B290" s="64"/>
      <c r="C290" s="61">
        <v>4191.0997150000003</v>
      </c>
      <c r="D290" s="57"/>
      <c r="E290" s="37"/>
      <c r="F290" s="37"/>
    </row>
    <row r="291" spans="1:6" s="56" customFormat="1" ht="14" x14ac:dyDescent="0.35">
      <c r="A291" s="51">
        <v>41455</v>
      </c>
      <c r="B291" s="64"/>
      <c r="C291" s="61">
        <v>3760.5449289999997</v>
      </c>
      <c r="D291" s="57"/>
      <c r="E291" s="37"/>
      <c r="F291" s="37"/>
    </row>
    <row r="292" spans="1:6" s="56" customFormat="1" ht="14" x14ac:dyDescent="0.35">
      <c r="A292" s="51">
        <v>41486</v>
      </c>
      <c r="B292" s="64"/>
      <c r="C292" s="61">
        <v>3670.0080170000001</v>
      </c>
      <c r="D292" s="57"/>
      <c r="E292" s="37"/>
      <c r="F292" s="37"/>
    </row>
    <row r="293" spans="1:6" s="56" customFormat="1" ht="14" x14ac:dyDescent="0.35">
      <c r="A293" s="51">
        <v>41517</v>
      </c>
      <c r="B293" s="64"/>
      <c r="C293" s="61">
        <v>4508.1204420000004</v>
      </c>
      <c r="D293" s="57"/>
      <c r="E293" s="37"/>
      <c r="F293" s="37"/>
    </row>
    <row r="294" spans="1:6" s="56" customFormat="1" ht="14" x14ac:dyDescent="0.35">
      <c r="A294" s="51">
        <v>41547</v>
      </c>
      <c r="B294" s="64"/>
      <c r="C294" s="61">
        <v>4233.4999719999996</v>
      </c>
      <c r="D294" s="57"/>
      <c r="E294" s="37"/>
      <c r="F294" s="37"/>
    </row>
    <row r="295" spans="1:6" s="56" customFormat="1" ht="14" x14ac:dyDescent="0.35">
      <c r="A295" s="51">
        <v>41578</v>
      </c>
      <c r="B295" s="64"/>
      <c r="C295" s="61">
        <v>4206.0046319999992</v>
      </c>
      <c r="D295" s="57"/>
      <c r="E295" s="37"/>
      <c r="F295" s="37"/>
    </row>
    <row r="296" spans="1:6" s="56" customFormat="1" ht="14" x14ac:dyDescent="0.35">
      <c r="A296" s="51">
        <v>41608</v>
      </c>
      <c r="B296" s="64"/>
      <c r="C296" s="61">
        <v>4051.0578420000002</v>
      </c>
      <c r="D296" s="57"/>
      <c r="E296" s="37"/>
      <c r="F296" s="37"/>
    </row>
    <row r="297" spans="1:6" s="56" customFormat="1" ht="14" x14ac:dyDescent="0.35">
      <c r="A297" s="51">
        <v>41639</v>
      </c>
      <c r="B297" s="64"/>
      <c r="C297" s="61">
        <v>4360.5216580000006</v>
      </c>
      <c r="D297" s="57"/>
      <c r="E297" s="37"/>
      <c r="F297" s="37"/>
    </row>
    <row r="298" spans="1:6" s="56" customFormat="1" ht="14" x14ac:dyDescent="0.35">
      <c r="A298" s="51">
        <v>41670</v>
      </c>
      <c r="B298" s="64"/>
      <c r="C298" s="61">
        <v>4182.7264599999999</v>
      </c>
      <c r="D298" s="57"/>
      <c r="E298" s="37"/>
      <c r="F298" s="37"/>
    </row>
    <row r="299" spans="1:6" s="56" customFormat="1" ht="14" x14ac:dyDescent="0.35">
      <c r="A299" s="51">
        <v>41698</v>
      </c>
      <c r="B299" s="64"/>
      <c r="C299" s="61">
        <v>4332.4056269999992</v>
      </c>
      <c r="D299" s="57"/>
      <c r="E299" s="37"/>
      <c r="F299" s="37"/>
    </row>
    <row r="300" spans="1:6" s="56" customFormat="1" ht="14" x14ac:dyDescent="0.35">
      <c r="A300" s="51">
        <v>41729</v>
      </c>
      <c r="B300" s="64"/>
      <c r="C300" s="61">
        <v>3976.2516280000009</v>
      </c>
      <c r="D300" s="57"/>
      <c r="E300" s="37"/>
      <c r="F300" s="37"/>
    </row>
    <row r="301" spans="1:6" s="56" customFormat="1" ht="14" x14ac:dyDescent="0.35">
      <c r="A301" s="51">
        <v>41759</v>
      </c>
      <c r="B301" s="64"/>
      <c r="C301" s="61">
        <v>3568.8924619999998</v>
      </c>
      <c r="D301" s="57"/>
      <c r="E301" s="37"/>
      <c r="F301" s="37"/>
    </row>
    <row r="302" spans="1:6" ht="14" x14ac:dyDescent="0.35">
      <c r="A302" s="51">
        <v>41790</v>
      </c>
      <c r="B302" s="64"/>
      <c r="C302" s="61">
        <v>4010.3070989999997</v>
      </c>
      <c r="D302" s="57"/>
    </row>
    <row r="303" spans="1:6" ht="14" x14ac:dyDescent="0.35">
      <c r="A303" s="51">
        <v>41820</v>
      </c>
      <c r="B303" s="64"/>
      <c r="C303" s="61">
        <v>5822.4181969999991</v>
      </c>
      <c r="D303" s="57"/>
    </row>
    <row r="304" spans="1:6" ht="14" x14ac:dyDescent="0.35">
      <c r="A304" s="51">
        <v>41851</v>
      </c>
      <c r="B304" s="64"/>
      <c r="C304" s="61">
        <v>5557.3942390000002</v>
      </c>
      <c r="D304" s="57"/>
    </row>
    <row r="305" spans="1:8" s="52" customFormat="1" ht="14.5" thickBot="1" x14ac:dyDescent="0.4">
      <c r="A305" s="58">
        <v>41882</v>
      </c>
      <c r="B305" s="65"/>
      <c r="C305" s="66">
        <v>6171.2039259999992</v>
      </c>
      <c r="D305" s="57"/>
      <c r="E305" s="37"/>
      <c r="F305" s="37"/>
      <c r="G305" s="37"/>
      <c r="H305" s="37"/>
    </row>
    <row r="306" spans="1:8" s="52" customFormat="1" ht="12" thickTop="1" x14ac:dyDescent="0.25">
      <c r="A306" s="37"/>
      <c r="B306" s="39"/>
      <c r="C306" s="37"/>
      <c r="D306" s="57"/>
      <c r="E306" s="37"/>
      <c r="F306" s="37"/>
      <c r="G306" s="37"/>
      <c r="H306" s="37"/>
    </row>
    <row r="307" spans="1:8" s="52" customFormat="1" x14ac:dyDescent="0.25">
      <c r="A307" s="37"/>
      <c r="B307" s="39" t="s">
        <v>139</v>
      </c>
      <c r="C307" s="37"/>
      <c r="D307" s="57"/>
      <c r="E307" s="37"/>
      <c r="F307" s="37"/>
      <c r="G307" s="37"/>
      <c r="H307" s="37"/>
    </row>
    <row r="308" spans="1:8" s="52" customFormat="1" x14ac:dyDescent="0.25">
      <c r="A308" s="37"/>
      <c r="B308" s="39"/>
      <c r="C308" s="37"/>
      <c r="D308" s="57"/>
      <c r="E308" s="37"/>
      <c r="F308" s="37"/>
      <c r="G308" s="37"/>
      <c r="H308" s="37"/>
    </row>
    <row r="309" spans="1:8" s="52" customFormat="1" x14ac:dyDescent="0.25">
      <c r="A309" s="37"/>
      <c r="B309" s="39"/>
      <c r="C309" s="37"/>
      <c r="D309" s="57"/>
      <c r="E309" s="37"/>
      <c r="F309" s="37"/>
      <c r="G309" s="37"/>
      <c r="H309" s="37"/>
    </row>
    <row r="310" spans="1:8" s="52" customFormat="1" x14ac:dyDescent="0.25">
      <c r="A310" s="37"/>
      <c r="B310" s="39"/>
      <c r="C310" s="37"/>
      <c r="D310" s="57"/>
      <c r="E310" s="37"/>
      <c r="F310" s="37"/>
      <c r="G310" s="37"/>
      <c r="H310" s="37"/>
    </row>
    <row r="311" spans="1:8" s="52" customFormat="1" x14ac:dyDescent="0.25">
      <c r="A311" s="37"/>
      <c r="B311" s="39"/>
      <c r="C311" s="37"/>
      <c r="D311" s="57"/>
      <c r="E311" s="37"/>
      <c r="F311" s="37"/>
      <c r="G311" s="37"/>
      <c r="H311" s="37"/>
    </row>
    <row r="312" spans="1:8" s="52" customFormat="1" x14ac:dyDescent="0.25">
      <c r="A312" s="37"/>
      <c r="B312" s="39"/>
      <c r="C312" s="37"/>
      <c r="D312" s="57"/>
      <c r="E312" s="37"/>
      <c r="F312" s="37"/>
      <c r="G312" s="37"/>
      <c r="H312" s="37"/>
    </row>
    <row r="313" spans="1:8" s="52" customFormat="1" x14ac:dyDescent="0.25">
      <c r="A313" s="37"/>
      <c r="B313" s="39"/>
      <c r="C313" s="37"/>
      <c r="D313" s="57"/>
      <c r="E313" s="37"/>
      <c r="F313" s="37"/>
      <c r="G313" s="37"/>
      <c r="H313" s="37"/>
    </row>
    <row r="314" spans="1:8" s="52" customFormat="1" x14ac:dyDescent="0.25">
      <c r="A314" s="37"/>
      <c r="B314" s="39"/>
      <c r="C314" s="37"/>
      <c r="D314" s="57"/>
      <c r="E314" s="37"/>
      <c r="F314" s="37"/>
      <c r="G314" s="37"/>
      <c r="H314" s="37"/>
    </row>
    <row r="315" spans="1:8" s="52" customFormat="1" x14ac:dyDescent="0.25">
      <c r="A315" s="37"/>
      <c r="B315" s="39"/>
      <c r="C315" s="37"/>
      <c r="D315" s="59"/>
      <c r="E315" s="37"/>
      <c r="F315" s="37"/>
      <c r="G315" s="37"/>
      <c r="H315" s="37"/>
    </row>
    <row r="316" spans="1:8" s="52" customFormat="1" x14ac:dyDescent="0.25">
      <c r="A316" s="37"/>
      <c r="B316" s="39"/>
      <c r="C316" s="37"/>
      <c r="D316" s="59"/>
      <c r="E316" s="37"/>
      <c r="F316" s="37"/>
      <c r="G316" s="37"/>
      <c r="H316" s="37"/>
    </row>
    <row r="317" spans="1:8" s="52" customFormat="1" x14ac:dyDescent="0.25">
      <c r="A317" s="37"/>
      <c r="B317" s="39"/>
      <c r="C317" s="37"/>
      <c r="D317" s="59"/>
      <c r="E317" s="37"/>
      <c r="F317" s="37"/>
      <c r="G317" s="37"/>
      <c r="H317" s="37"/>
    </row>
    <row r="318" spans="1:8" s="52" customFormat="1" x14ac:dyDescent="0.25">
      <c r="A318" s="37"/>
      <c r="B318" s="39"/>
      <c r="C318" s="37"/>
      <c r="D318" s="59"/>
      <c r="E318" s="37"/>
      <c r="F318" s="37"/>
      <c r="G318" s="37"/>
      <c r="H318" s="37"/>
    </row>
    <row r="319" spans="1:8" s="52" customFormat="1" x14ac:dyDescent="0.25">
      <c r="A319" s="37"/>
      <c r="B319" s="39"/>
      <c r="C319" s="37"/>
      <c r="D319" s="59"/>
      <c r="E319" s="37"/>
      <c r="F319" s="37"/>
      <c r="G319" s="37"/>
      <c r="H319" s="37"/>
    </row>
    <row r="320" spans="1:8" s="52" customFormat="1" x14ac:dyDescent="0.25">
      <c r="A320" s="37"/>
      <c r="B320" s="39"/>
      <c r="C320" s="37"/>
      <c r="D320" s="59"/>
      <c r="E320" s="37"/>
      <c r="F320" s="37"/>
      <c r="G320" s="37"/>
      <c r="H320" s="37"/>
    </row>
    <row r="321" spans="1:8" s="52" customFormat="1" x14ac:dyDescent="0.25">
      <c r="A321" s="37"/>
      <c r="B321" s="39"/>
      <c r="C321" s="37"/>
      <c r="D321" s="59"/>
      <c r="E321" s="37"/>
      <c r="F321" s="37"/>
      <c r="G321" s="37"/>
      <c r="H321" s="37"/>
    </row>
    <row r="322" spans="1:8" s="52" customFormat="1" x14ac:dyDescent="0.25">
      <c r="A322" s="37"/>
      <c r="B322" s="39"/>
      <c r="C322" s="37"/>
      <c r="D322" s="59"/>
      <c r="E322" s="37"/>
      <c r="F322" s="37"/>
      <c r="G322" s="37"/>
      <c r="H322" s="37"/>
    </row>
    <row r="323" spans="1:8" s="52" customFormat="1" x14ac:dyDescent="0.25">
      <c r="A323" s="37"/>
      <c r="B323" s="39"/>
      <c r="C323" s="37"/>
      <c r="D323" s="59"/>
      <c r="E323" s="37"/>
      <c r="F323" s="37"/>
      <c r="G323" s="37"/>
      <c r="H323" s="37"/>
    </row>
    <row r="324" spans="1:8" s="52" customFormat="1" x14ac:dyDescent="0.25">
      <c r="A324" s="37"/>
      <c r="B324" s="39"/>
      <c r="C324" s="37"/>
      <c r="D324" s="59"/>
      <c r="E324" s="37"/>
      <c r="F324" s="37"/>
      <c r="G324" s="37"/>
      <c r="H324" s="37"/>
    </row>
    <row r="325" spans="1:8" s="52" customFormat="1" x14ac:dyDescent="0.25">
      <c r="A325" s="37"/>
      <c r="B325" s="39"/>
      <c r="C325" s="37"/>
      <c r="D325" s="59"/>
      <c r="E325" s="37"/>
      <c r="F325" s="37"/>
      <c r="G325" s="37"/>
      <c r="H325" s="37"/>
    </row>
    <row r="326" spans="1:8" s="52" customFormat="1" x14ac:dyDescent="0.25">
      <c r="A326" s="37"/>
      <c r="B326" s="39"/>
      <c r="C326" s="37"/>
      <c r="D326" s="59"/>
      <c r="E326" s="37"/>
      <c r="F326" s="37"/>
      <c r="G326" s="37"/>
      <c r="H326" s="37"/>
    </row>
    <row r="327" spans="1:8" s="52" customFormat="1" x14ac:dyDescent="0.25">
      <c r="A327" s="37"/>
      <c r="B327" s="39"/>
      <c r="C327" s="37"/>
      <c r="D327" s="59"/>
      <c r="E327" s="37"/>
      <c r="F327" s="37"/>
      <c r="G327" s="37"/>
      <c r="H327" s="37"/>
    </row>
    <row r="328" spans="1:8" s="52" customFormat="1" x14ac:dyDescent="0.25">
      <c r="A328" s="37"/>
      <c r="B328" s="39"/>
      <c r="C328" s="37"/>
      <c r="D328" s="59"/>
      <c r="E328" s="37"/>
      <c r="F328" s="37"/>
      <c r="G328" s="37"/>
      <c r="H328" s="37"/>
    </row>
    <row r="329" spans="1:8" s="52" customFormat="1" x14ac:dyDescent="0.25">
      <c r="A329" s="37"/>
      <c r="B329" s="39"/>
      <c r="C329" s="37"/>
      <c r="D329" s="59"/>
      <c r="E329" s="37"/>
      <c r="F329" s="37"/>
      <c r="G329" s="37"/>
      <c r="H329" s="37"/>
    </row>
    <row r="330" spans="1:8" s="52" customFormat="1" x14ac:dyDescent="0.25">
      <c r="A330" s="37"/>
      <c r="B330" s="39"/>
      <c r="C330" s="37"/>
      <c r="D330" s="59"/>
      <c r="E330" s="37"/>
      <c r="F330" s="37"/>
      <c r="G330" s="37"/>
      <c r="H330" s="37"/>
    </row>
    <row r="331" spans="1:8" s="52" customFormat="1" x14ac:dyDescent="0.25">
      <c r="A331" s="37"/>
      <c r="B331" s="39"/>
      <c r="C331" s="37"/>
      <c r="D331" s="59"/>
      <c r="E331" s="37"/>
      <c r="F331" s="37"/>
      <c r="G331" s="37"/>
      <c r="H331" s="37"/>
    </row>
    <row r="332" spans="1:8" s="52" customFormat="1" x14ac:dyDescent="0.25">
      <c r="A332" s="37"/>
      <c r="B332" s="39"/>
      <c r="C332" s="37"/>
      <c r="D332" s="59"/>
      <c r="E332" s="37"/>
      <c r="F332" s="37"/>
      <c r="G332" s="37"/>
      <c r="H332" s="37"/>
    </row>
    <row r="333" spans="1:8" s="52" customFormat="1" x14ac:dyDescent="0.25">
      <c r="A333" s="37"/>
      <c r="B333" s="39"/>
      <c r="C333" s="37"/>
      <c r="D333" s="59"/>
      <c r="E333" s="37"/>
      <c r="F333" s="37"/>
      <c r="G333" s="37"/>
      <c r="H333" s="37"/>
    </row>
    <row r="334" spans="1:8" s="52" customFormat="1" x14ac:dyDescent="0.25">
      <c r="A334" s="37"/>
      <c r="B334" s="39"/>
      <c r="C334" s="37"/>
      <c r="D334" s="59"/>
      <c r="E334" s="37"/>
      <c r="F334" s="37"/>
      <c r="G334" s="37"/>
      <c r="H334" s="37"/>
    </row>
    <row r="335" spans="1:8" s="52" customFormat="1" x14ac:dyDescent="0.25">
      <c r="A335" s="37"/>
      <c r="B335" s="39"/>
      <c r="C335" s="37"/>
      <c r="D335" s="59"/>
      <c r="E335" s="37"/>
      <c r="F335" s="37"/>
      <c r="G335" s="37"/>
      <c r="H335" s="37"/>
    </row>
    <row r="336" spans="1:8" s="52" customFormat="1" x14ac:dyDescent="0.25">
      <c r="A336" s="37"/>
      <c r="B336" s="39"/>
      <c r="C336" s="37"/>
      <c r="D336" s="59"/>
      <c r="E336" s="37"/>
      <c r="F336" s="37"/>
      <c r="G336" s="37"/>
      <c r="H336" s="37"/>
    </row>
    <row r="337" spans="1:8" s="52" customFormat="1" x14ac:dyDescent="0.25">
      <c r="A337" s="37"/>
      <c r="B337" s="39"/>
      <c r="C337" s="37"/>
      <c r="D337" s="59"/>
      <c r="E337" s="37"/>
      <c r="F337" s="37"/>
      <c r="G337" s="37"/>
      <c r="H337" s="37"/>
    </row>
    <row r="338" spans="1:8" s="52" customFormat="1" x14ac:dyDescent="0.25">
      <c r="A338" s="37"/>
      <c r="B338" s="39"/>
      <c r="C338" s="37"/>
      <c r="D338" s="59"/>
      <c r="E338" s="37"/>
      <c r="F338" s="37"/>
      <c r="G338" s="37"/>
      <c r="H338" s="37"/>
    </row>
    <row r="339" spans="1:8" s="52" customFormat="1" x14ac:dyDescent="0.25">
      <c r="A339" s="37"/>
      <c r="B339" s="39"/>
      <c r="C339" s="37"/>
      <c r="D339" s="59"/>
      <c r="E339" s="37"/>
      <c r="F339" s="37"/>
      <c r="G339" s="37"/>
      <c r="H339" s="37"/>
    </row>
    <row r="340" spans="1:8" s="52" customFormat="1" x14ac:dyDescent="0.25">
      <c r="A340" s="37"/>
      <c r="B340" s="39"/>
      <c r="C340" s="37"/>
      <c r="D340" s="59"/>
      <c r="E340" s="37"/>
      <c r="F340" s="37"/>
      <c r="G340" s="37"/>
      <c r="H340" s="37"/>
    </row>
    <row r="341" spans="1:8" s="52" customFormat="1" x14ac:dyDescent="0.25">
      <c r="A341" s="37"/>
      <c r="B341" s="39"/>
      <c r="C341" s="37"/>
      <c r="D341" s="59"/>
      <c r="E341" s="37"/>
      <c r="F341" s="37"/>
      <c r="G341" s="37"/>
      <c r="H341" s="37"/>
    </row>
    <row r="342" spans="1:8" s="52" customFormat="1" x14ac:dyDescent="0.25">
      <c r="A342" s="37"/>
      <c r="B342" s="39"/>
      <c r="C342" s="37"/>
      <c r="D342" s="59"/>
      <c r="E342" s="37"/>
      <c r="F342" s="37"/>
      <c r="G342" s="37"/>
      <c r="H342" s="37"/>
    </row>
    <row r="343" spans="1:8" s="52" customFormat="1" x14ac:dyDescent="0.25">
      <c r="A343" s="37"/>
      <c r="B343" s="39"/>
      <c r="C343" s="37"/>
      <c r="D343" s="59"/>
      <c r="E343" s="37"/>
      <c r="F343" s="37"/>
      <c r="G343" s="37"/>
      <c r="H343" s="37"/>
    </row>
    <row r="344" spans="1:8" s="52" customFormat="1" x14ac:dyDescent="0.25">
      <c r="A344" s="37"/>
      <c r="B344" s="39"/>
      <c r="C344" s="37"/>
      <c r="D344" s="59"/>
      <c r="E344" s="37"/>
      <c r="F344" s="37"/>
      <c r="G344" s="37"/>
      <c r="H344" s="37"/>
    </row>
    <row r="345" spans="1:8" s="52" customFormat="1" x14ac:dyDescent="0.25">
      <c r="A345" s="37"/>
      <c r="B345" s="39"/>
      <c r="C345" s="37"/>
      <c r="D345" s="59"/>
      <c r="E345" s="37"/>
      <c r="F345" s="37"/>
      <c r="G345" s="37"/>
      <c r="H345" s="37"/>
    </row>
    <row r="346" spans="1:8" s="52" customFormat="1" x14ac:dyDescent="0.25">
      <c r="A346" s="37"/>
      <c r="B346" s="39"/>
      <c r="C346" s="37"/>
      <c r="D346" s="59"/>
      <c r="E346" s="37"/>
      <c r="F346" s="37"/>
      <c r="G346" s="37"/>
      <c r="H346" s="37"/>
    </row>
    <row r="347" spans="1:8" s="52" customFormat="1" x14ac:dyDescent="0.25">
      <c r="A347" s="37"/>
      <c r="B347" s="39"/>
      <c r="C347" s="37"/>
      <c r="D347" s="59"/>
      <c r="E347" s="37"/>
      <c r="F347" s="37"/>
      <c r="G347" s="37"/>
      <c r="H347" s="37"/>
    </row>
    <row r="7934" spans="1:8" s="39" customFormat="1" x14ac:dyDescent="0.25">
      <c r="A7934" s="60"/>
      <c r="C7934" s="37"/>
      <c r="D7934" s="37"/>
      <c r="E7934" s="37"/>
      <c r="F7934" s="37"/>
      <c r="G7934" s="37"/>
      <c r="H7934" s="37"/>
    </row>
  </sheetData>
  <mergeCells count="2">
    <mergeCell ref="A1:C1"/>
    <mergeCell ref="A2:C2"/>
  </mergeCells>
  <printOptions horizontalCentered="1" verticalCentered="1"/>
  <pageMargins left="0.74803149606299213" right="0.74803149606299213" top="1.1811023622047245" bottom="1.1811023622047245" header="0.31496062992125984" footer="0.31496062992125984"/>
  <pageSetup paperSize="9" scale="35" orientation="portrait" r:id="rId1"/>
  <headerFooter alignWithMargins="0"/>
  <colBreaks count="1" manualBreakCount="1">
    <brk id="3"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A0984-1548-493A-AEFE-8FB4E28CCDC1}">
  <dimension ref="A1:B439"/>
  <sheetViews>
    <sheetView tabSelected="1" workbookViewId="0">
      <selection activeCell="A2" sqref="A2"/>
    </sheetView>
  </sheetViews>
  <sheetFormatPr baseColWidth="10" defaultRowHeight="15.5" x14ac:dyDescent="0.35"/>
  <cols>
    <col min="1" max="1" width="11.07421875" style="74"/>
  </cols>
  <sheetData>
    <row r="1" spans="1:2" x14ac:dyDescent="0.35">
      <c r="A1" s="74" t="s">
        <v>142</v>
      </c>
      <c r="B1" t="s">
        <v>143</v>
      </c>
    </row>
    <row r="2" spans="1:2" x14ac:dyDescent="0.35">
      <c r="A2" s="74">
        <v>32932</v>
      </c>
      <c r="B2">
        <v>119.96057799743586</v>
      </c>
    </row>
    <row r="3" spans="1:2" x14ac:dyDescent="0.35">
      <c r="A3" s="74">
        <v>32963</v>
      </c>
      <c r="B3">
        <v>203.05973623051281</v>
      </c>
    </row>
    <row r="4" spans="1:2" x14ac:dyDescent="0.35">
      <c r="A4" s="74">
        <v>32993</v>
      </c>
      <c r="B4">
        <v>144.5299113603846</v>
      </c>
    </row>
    <row r="5" spans="1:2" x14ac:dyDescent="0.35">
      <c r="A5" s="74">
        <v>33024</v>
      </c>
      <c r="B5">
        <v>128.93603859199993</v>
      </c>
    </row>
    <row r="6" spans="1:2" x14ac:dyDescent="0.35">
      <c r="A6" s="74">
        <v>33054</v>
      </c>
      <c r="B6">
        <v>192.8813070994872</v>
      </c>
    </row>
    <row r="7" spans="1:2" x14ac:dyDescent="0.35">
      <c r="A7" s="74">
        <v>33085</v>
      </c>
      <c r="B7">
        <v>159.40943888597434</v>
      </c>
    </row>
    <row r="8" spans="1:2" x14ac:dyDescent="0.35">
      <c r="A8" s="74">
        <v>33116</v>
      </c>
      <c r="B8">
        <v>164.01077379315379</v>
      </c>
    </row>
    <row r="9" spans="1:2" x14ac:dyDescent="0.35">
      <c r="A9" s="74">
        <v>33146</v>
      </c>
      <c r="B9">
        <v>235.49767841769221</v>
      </c>
    </row>
    <row r="10" spans="1:2" x14ac:dyDescent="0.35">
      <c r="A10" s="74">
        <v>33177</v>
      </c>
      <c r="B10">
        <v>305.64260418402563</v>
      </c>
    </row>
    <row r="11" spans="1:2" x14ac:dyDescent="0.35">
      <c r="A11" s="74">
        <v>33207</v>
      </c>
      <c r="B11">
        <v>467.44934419630772</v>
      </c>
    </row>
    <row r="12" spans="1:2" x14ac:dyDescent="0.35">
      <c r="A12" s="74">
        <v>33238</v>
      </c>
      <c r="B12">
        <v>603.27476153846146</v>
      </c>
    </row>
    <row r="13" spans="1:2" x14ac:dyDescent="0.35">
      <c r="A13" s="74">
        <v>33269</v>
      </c>
      <c r="B13">
        <v>518.77803355128196</v>
      </c>
    </row>
    <row r="14" spans="1:2" x14ac:dyDescent="0.35">
      <c r="A14" s="74">
        <v>33297</v>
      </c>
      <c r="B14">
        <v>480.83614923589732</v>
      </c>
    </row>
    <row r="15" spans="1:2" x14ac:dyDescent="0.35">
      <c r="A15" s="74">
        <v>33328</v>
      </c>
      <c r="B15">
        <v>503.2478989153845</v>
      </c>
    </row>
    <row r="16" spans="1:2" x14ac:dyDescent="0.35">
      <c r="A16" s="74">
        <v>33358</v>
      </c>
      <c r="B16">
        <v>585.4969766538461</v>
      </c>
    </row>
    <row r="17" spans="1:2" x14ac:dyDescent="0.35">
      <c r="A17" s="74">
        <v>33389</v>
      </c>
      <c r="B17">
        <v>528.38503156792308</v>
      </c>
    </row>
    <row r="18" spans="1:2" x14ac:dyDescent="0.35">
      <c r="A18" s="74">
        <v>33419</v>
      </c>
      <c r="B18">
        <v>556.5976435897436</v>
      </c>
    </row>
    <row r="19" spans="1:2" x14ac:dyDescent="0.35">
      <c r="A19" s="74">
        <v>33450</v>
      </c>
      <c r="B19">
        <v>572.8482802743589</v>
      </c>
    </row>
    <row r="20" spans="1:2" x14ac:dyDescent="0.35">
      <c r="A20" s="74">
        <v>33481</v>
      </c>
      <c r="B20">
        <v>584.32499069487187</v>
      </c>
    </row>
    <row r="21" spans="1:2" x14ac:dyDescent="0.35">
      <c r="A21" s="74">
        <v>33511</v>
      </c>
      <c r="B21">
        <v>605.73208205128196</v>
      </c>
    </row>
    <row r="22" spans="1:2" x14ac:dyDescent="0.35">
      <c r="A22" s="74">
        <v>33542</v>
      </c>
      <c r="B22">
        <v>587.61293333333322</v>
      </c>
    </row>
    <row r="23" spans="1:2" x14ac:dyDescent="0.35">
      <c r="A23" s="74">
        <v>33572</v>
      </c>
      <c r="B23">
        <v>600.60017568625642</v>
      </c>
    </row>
    <row r="24" spans="1:2" x14ac:dyDescent="0.35">
      <c r="A24" s="74">
        <v>33603</v>
      </c>
      <c r="B24">
        <v>760.44698974358971</v>
      </c>
    </row>
    <row r="25" spans="1:2" x14ac:dyDescent="0.35">
      <c r="A25" s="74">
        <v>33634</v>
      </c>
      <c r="B25">
        <v>651.04575128205124</v>
      </c>
    </row>
    <row r="26" spans="1:2" x14ac:dyDescent="0.35">
      <c r="A26" s="74">
        <v>33663</v>
      </c>
      <c r="B26">
        <v>643.32692300256417</v>
      </c>
    </row>
    <row r="27" spans="1:2" x14ac:dyDescent="0.35">
      <c r="A27" s="74">
        <v>33694</v>
      </c>
      <c r="B27">
        <v>696.5707362102562</v>
      </c>
    </row>
    <row r="28" spans="1:2" x14ac:dyDescent="0.35">
      <c r="A28" s="74">
        <v>33724</v>
      </c>
      <c r="B28">
        <v>590.26709230769234</v>
      </c>
    </row>
    <row r="29" spans="1:2" x14ac:dyDescent="0.35">
      <c r="A29" s="74">
        <v>33755</v>
      </c>
      <c r="B29">
        <v>456.18191282051288</v>
      </c>
    </row>
    <row r="30" spans="1:2" x14ac:dyDescent="0.35">
      <c r="A30" s="74">
        <v>33785</v>
      </c>
      <c r="B30">
        <v>452.80784410256405</v>
      </c>
    </row>
    <row r="31" spans="1:2" x14ac:dyDescent="0.35">
      <c r="A31" s="74">
        <v>33816</v>
      </c>
      <c r="B31">
        <v>311.46115451025651</v>
      </c>
    </row>
    <row r="32" spans="1:2" x14ac:dyDescent="0.35">
      <c r="A32" s="74">
        <v>33847</v>
      </c>
      <c r="B32">
        <v>223.90563023102555</v>
      </c>
    </row>
    <row r="33" spans="1:2" x14ac:dyDescent="0.35">
      <c r="A33" s="74">
        <v>33877</v>
      </c>
      <c r="B33">
        <v>488.94840695128204</v>
      </c>
    </row>
    <row r="34" spans="1:2" x14ac:dyDescent="0.35">
      <c r="A34" s="74">
        <v>33908</v>
      </c>
      <c r="B34">
        <v>761.73612247435915</v>
      </c>
    </row>
    <row r="35" spans="1:2" x14ac:dyDescent="0.35">
      <c r="A35" s="74">
        <v>33938</v>
      </c>
      <c r="B35">
        <v>818.39865417179487</v>
      </c>
    </row>
    <row r="36" spans="1:2" x14ac:dyDescent="0.35">
      <c r="A36" s="74">
        <v>33969</v>
      </c>
      <c r="B36">
        <v>781.85756666666668</v>
      </c>
    </row>
    <row r="37" spans="1:2" x14ac:dyDescent="0.35">
      <c r="A37" s="74">
        <v>34000</v>
      </c>
      <c r="B37">
        <v>775.15756945641033</v>
      </c>
    </row>
    <row r="38" spans="1:2" x14ac:dyDescent="0.35">
      <c r="A38" s="74">
        <v>34028</v>
      </c>
      <c r="B38">
        <v>849.89101451494889</v>
      </c>
    </row>
    <row r="39" spans="1:2" x14ac:dyDescent="0.35">
      <c r="A39" s="74">
        <v>34059</v>
      </c>
      <c r="B39">
        <v>850.5944873717948</v>
      </c>
    </row>
    <row r="40" spans="1:2" x14ac:dyDescent="0.35">
      <c r="A40" s="74">
        <v>34089</v>
      </c>
      <c r="B40">
        <v>933.46479743589748</v>
      </c>
    </row>
    <row r="41" spans="1:2" x14ac:dyDescent="0.35">
      <c r="A41" s="74">
        <v>34120</v>
      </c>
      <c r="B41">
        <v>932.91299364871782</v>
      </c>
    </row>
    <row r="42" spans="1:2" x14ac:dyDescent="0.35">
      <c r="A42" s="74">
        <v>34150</v>
      </c>
      <c r="B42">
        <v>968.54498205128209</v>
      </c>
    </row>
    <row r="43" spans="1:2" x14ac:dyDescent="0.35">
      <c r="A43" s="74">
        <v>34181</v>
      </c>
      <c r="B43">
        <v>1047.1425866179486</v>
      </c>
    </row>
    <row r="44" spans="1:2" x14ac:dyDescent="0.35">
      <c r="A44" s="74">
        <v>34212</v>
      </c>
      <c r="B44">
        <v>1130.4469225692308</v>
      </c>
    </row>
    <row r="45" spans="1:2" x14ac:dyDescent="0.35">
      <c r="A45" s="74">
        <v>34242</v>
      </c>
      <c r="B45">
        <v>1121.7383364153843</v>
      </c>
    </row>
    <row r="46" spans="1:2" x14ac:dyDescent="0.35">
      <c r="A46" s="74">
        <v>34273</v>
      </c>
      <c r="B46">
        <v>1212.1335282051284</v>
      </c>
    </row>
    <row r="47" spans="1:2" x14ac:dyDescent="0.35">
      <c r="A47" s="74">
        <v>34303</v>
      </c>
      <c r="B47">
        <v>1210.6418692307691</v>
      </c>
    </row>
    <row r="48" spans="1:2" x14ac:dyDescent="0.35">
      <c r="A48" s="74">
        <v>34334</v>
      </c>
      <c r="B48">
        <v>1253.803071463775</v>
      </c>
    </row>
    <row r="49" spans="1:2" x14ac:dyDescent="0.35">
      <c r="A49" s="74">
        <v>34365</v>
      </c>
      <c r="B49">
        <v>1186.8419016706443</v>
      </c>
    </row>
    <row r="50" spans="1:2" x14ac:dyDescent="0.35">
      <c r="A50" s="74">
        <v>34393</v>
      </c>
      <c r="B50">
        <v>1275.8271077689358</v>
      </c>
    </row>
    <row r="51" spans="1:2" x14ac:dyDescent="0.35">
      <c r="A51" s="74">
        <v>34424</v>
      </c>
      <c r="B51">
        <v>1331.4139652571032</v>
      </c>
    </row>
    <row r="52" spans="1:2" x14ac:dyDescent="0.35">
      <c r="A52" s="74">
        <v>34454</v>
      </c>
      <c r="B52">
        <v>1280.8238013068394</v>
      </c>
    </row>
    <row r="53" spans="1:2" x14ac:dyDescent="0.35">
      <c r="A53" s="74">
        <v>34485</v>
      </c>
      <c r="B53">
        <v>1323.7896567343173</v>
      </c>
    </row>
    <row r="54" spans="1:2" x14ac:dyDescent="0.35">
      <c r="A54" s="74">
        <v>34515</v>
      </c>
      <c r="B54">
        <v>1445.7741493585163</v>
      </c>
    </row>
    <row r="55" spans="1:2" x14ac:dyDescent="0.35">
      <c r="A55" s="74">
        <v>34546</v>
      </c>
      <c r="B55">
        <v>1497.7466759220308</v>
      </c>
    </row>
    <row r="56" spans="1:2" x14ac:dyDescent="0.35">
      <c r="A56" s="74">
        <v>34577</v>
      </c>
      <c r="B56">
        <v>1482.5322805095429</v>
      </c>
    </row>
    <row r="57" spans="1:2" x14ac:dyDescent="0.35">
      <c r="A57" s="74">
        <v>34607</v>
      </c>
      <c r="B57">
        <v>1582.8656047745358</v>
      </c>
    </row>
    <row r="58" spans="1:2" x14ac:dyDescent="0.35">
      <c r="A58" s="74">
        <v>34638</v>
      </c>
      <c r="B58">
        <v>1553.8451136627245</v>
      </c>
    </row>
    <row r="59" spans="1:2" x14ac:dyDescent="0.35">
      <c r="A59" s="74">
        <v>34668</v>
      </c>
      <c r="B59">
        <v>1519.6934951533131</v>
      </c>
    </row>
    <row r="60" spans="1:2" x14ac:dyDescent="0.35">
      <c r="A60" s="74">
        <v>34699</v>
      </c>
      <c r="B60">
        <v>1711.7385280801045</v>
      </c>
    </row>
    <row r="61" spans="1:2" x14ac:dyDescent="0.35">
      <c r="A61" s="74">
        <v>34730</v>
      </c>
      <c r="B61">
        <v>1620.5936521971419</v>
      </c>
    </row>
    <row r="62" spans="1:2" x14ac:dyDescent="0.35">
      <c r="A62" s="74">
        <v>34758</v>
      </c>
      <c r="B62">
        <v>1507.639638195102</v>
      </c>
    </row>
    <row r="63" spans="1:2" x14ac:dyDescent="0.35">
      <c r="A63" s="74">
        <v>34789</v>
      </c>
      <c r="B63">
        <v>1608.0856034695905</v>
      </c>
    </row>
    <row r="64" spans="1:2" x14ac:dyDescent="0.35">
      <c r="A64" s="74">
        <v>34819</v>
      </c>
      <c r="B64">
        <v>1713.1190641029955</v>
      </c>
    </row>
    <row r="65" spans="1:2" x14ac:dyDescent="0.35">
      <c r="A65" s="74">
        <v>34850</v>
      </c>
      <c r="B65">
        <v>1721.0410064843431</v>
      </c>
    </row>
    <row r="66" spans="1:2" x14ac:dyDescent="0.35">
      <c r="A66" s="74">
        <v>34880</v>
      </c>
      <c r="B66">
        <v>1770.0964863083234</v>
      </c>
    </row>
    <row r="67" spans="1:2" x14ac:dyDescent="0.35">
      <c r="A67" s="74">
        <v>34911</v>
      </c>
      <c r="B67">
        <v>1689.0983153114821</v>
      </c>
    </row>
    <row r="68" spans="1:2" x14ac:dyDescent="0.35">
      <c r="A68" s="74">
        <v>34942</v>
      </c>
      <c r="B68">
        <v>1659.489200927175</v>
      </c>
    </row>
    <row r="69" spans="1:2" x14ac:dyDescent="0.35">
      <c r="A69" s="74">
        <v>34972</v>
      </c>
      <c r="B69">
        <v>1661.3155937889733</v>
      </c>
    </row>
    <row r="70" spans="1:2" x14ac:dyDescent="0.35">
      <c r="A70" s="74">
        <v>35003</v>
      </c>
      <c r="B70">
        <v>1628.6328402898171</v>
      </c>
    </row>
    <row r="71" spans="1:2" x14ac:dyDescent="0.35">
      <c r="A71" s="74">
        <v>35033</v>
      </c>
      <c r="B71">
        <v>1618.0316675333331</v>
      </c>
    </row>
    <row r="72" spans="1:2" x14ac:dyDescent="0.35">
      <c r="A72" s="74">
        <v>35064</v>
      </c>
      <c r="B72">
        <v>1556.6144806786449</v>
      </c>
    </row>
    <row r="73" spans="1:2" x14ac:dyDescent="0.35">
      <c r="A73" s="74">
        <v>35095</v>
      </c>
      <c r="B73">
        <v>1566.8119556748891</v>
      </c>
    </row>
    <row r="74" spans="1:2" x14ac:dyDescent="0.35">
      <c r="A74" s="74">
        <v>35124</v>
      </c>
      <c r="B74">
        <v>1546.4211330569683</v>
      </c>
    </row>
    <row r="75" spans="1:2" x14ac:dyDescent="0.35">
      <c r="A75" s="74">
        <v>35155</v>
      </c>
      <c r="B75">
        <v>1559.4647123915045</v>
      </c>
    </row>
    <row r="76" spans="1:2" x14ac:dyDescent="0.35">
      <c r="A76" s="74">
        <v>35185</v>
      </c>
      <c r="B76">
        <v>1593.7710134661681</v>
      </c>
    </row>
    <row r="77" spans="1:2" x14ac:dyDescent="0.35">
      <c r="A77" s="74">
        <v>35216</v>
      </c>
      <c r="B77">
        <v>1549.2233706619722</v>
      </c>
    </row>
    <row r="78" spans="1:2" x14ac:dyDescent="0.35">
      <c r="A78" s="74">
        <v>35246</v>
      </c>
      <c r="B78">
        <v>1571.1334781003518</v>
      </c>
    </row>
    <row r="79" spans="1:2" x14ac:dyDescent="0.35">
      <c r="A79" s="74">
        <v>35277</v>
      </c>
      <c r="B79">
        <v>1509.2950521867378</v>
      </c>
    </row>
    <row r="80" spans="1:2" x14ac:dyDescent="0.35">
      <c r="A80" s="74">
        <v>35308</v>
      </c>
      <c r="B80">
        <v>1526.1457255085054</v>
      </c>
    </row>
    <row r="81" spans="1:2" x14ac:dyDescent="0.35">
      <c r="A81" s="74">
        <v>35338</v>
      </c>
      <c r="B81">
        <v>1690.090652575509</v>
      </c>
    </row>
    <row r="82" spans="1:2" x14ac:dyDescent="0.35">
      <c r="A82" s="74">
        <v>35369</v>
      </c>
      <c r="B82">
        <v>1761.0363590378149</v>
      </c>
    </row>
    <row r="83" spans="1:2" x14ac:dyDescent="0.35">
      <c r="A83" s="74">
        <v>35399</v>
      </c>
      <c r="B83">
        <v>1651.701972208064</v>
      </c>
    </row>
    <row r="84" spans="1:2" x14ac:dyDescent="0.35">
      <c r="A84" s="74">
        <v>35430</v>
      </c>
      <c r="B84">
        <v>1831.4609964157703</v>
      </c>
    </row>
    <row r="85" spans="1:2" x14ac:dyDescent="0.35">
      <c r="A85" s="74">
        <v>35461</v>
      </c>
      <c r="B85">
        <v>1996.067081682497</v>
      </c>
    </row>
    <row r="86" spans="1:2" x14ac:dyDescent="0.35">
      <c r="A86" s="74">
        <v>35489</v>
      </c>
      <c r="B86">
        <v>1780.5740967655709</v>
      </c>
    </row>
    <row r="87" spans="1:2" x14ac:dyDescent="0.35">
      <c r="A87" s="74">
        <v>35520</v>
      </c>
      <c r="B87">
        <v>1919.9469259356877</v>
      </c>
    </row>
    <row r="88" spans="1:2" x14ac:dyDescent="0.35">
      <c r="A88" s="74">
        <v>35550</v>
      </c>
      <c r="B88">
        <v>2047.6419180648338</v>
      </c>
    </row>
    <row r="89" spans="1:2" x14ac:dyDescent="0.35">
      <c r="A89" s="74">
        <v>35581</v>
      </c>
      <c r="B89">
        <v>2111.847453217124</v>
      </c>
    </row>
    <row r="90" spans="1:2" x14ac:dyDescent="0.35">
      <c r="A90" s="74">
        <v>35611</v>
      </c>
      <c r="B90">
        <v>2225.6884975685134</v>
      </c>
    </row>
    <row r="91" spans="1:2" x14ac:dyDescent="0.35">
      <c r="A91" s="74">
        <v>35642</v>
      </c>
      <c r="B91">
        <v>2144.912913528246</v>
      </c>
    </row>
    <row r="92" spans="1:2" x14ac:dyDescent="0.35">
      <c r="A92" s="74">
        <v>35673</v>
      </c>
      <c r="B92">
        <v>2043.3129444782612</v>
      </c>
    </row>
    <row r="93" spans="1:2" x14ac:dyDescent="0.35">
      <c r="A93" s="74">
        <v>35703</v>
      </c>
      <c r="B93">
        <v>2230.7702393038439</v>
      </c>
    </row>
    <row r="94" spans="1:2" x14ac:dyDescent="0.35">
      <c r="A94" s="74">
        <v>35734</v>
      </c>
      <c r="B94">
        <v>2130.5635880816717</v>
      </c>
    </row>
    <row r="95" spans="1:2" x14ac:dyDescent="0.35">
      <c r="A95" s="74">
        <v>35764</v>
      </c>
      <c r="B95">
        <v>2051.2942350467292</v>
      </c>
    </row>
    <row r="96" spans="1:2" x14ac:dyDescent="0.35">
      <c r="A96" s="74">
        <v>35795</v>
      </c>
      <c r="B96">
        <v>2093.3697373183868</v>
      </c>
    </row>
    <row r="97" spans="1:2" x14ac:dyDescent="0.35">
      <c r="A97" s="74">
        <v>35826</v>
      </c>
      <c r="B97">
        <v>1953.4742476485642</v>
      </c>
    </row>
    <row r="98" spans="1:2" x14ac:dyDescent="0.35">
      <c r="A98" s="74">
        <v>35854</v>
      </c>
      <c r="B98">
        <v>1969.9848679766521</v>
      </c>
    </row>
    <row r="99" spans="1:2" x14ac:dyDescent="0.35">
      <c r="A99" s="74">
        <v>35885</v>
      </c>
      <c r="B99">
        <v>1939.7225165917469</v>
      </c>
    </row>
    <row r="100" spans="1:2" x14ac:dyDescent="0.35">
      <c r="A100" s="74">
        <v>35915</v>
      </c>
      <c r="B100">
        <v>2012.844526535536</v>
      </c>
    </row>
    <row r="101" spans="1:2" x14ac:dyDescent="0.35">
      <c r="A101" s="74">
        <v>35946</v>
      </c>
      <c r="B101">
        <v>1862.0874622493695</v>
      </c>
    </row>
    <row r="102" spans="1:2" x14ac:dyDescent="0.35">
      <c r="A102" s="74">
        <v>35976</v>
      </c>
      <c r="B102">
        <v>1877.9459159317923</v>
      </c>
    </row>
    <row r="103" spans="1:2" x14ac:dyDescent="0.35">
      <c r="A103" s="74">
        <v>36007</v>
      </c>
      <c r="B103">
        <v>1950.5226823170458</v>
      </c>
    </row>
    <row r="104" spans="1:2" x14ac:dyDescent="0.35">
      <c r="A104" s="74">
        <v>36038</v>
      </c>
      <c r="B104">
        <v>1837.4972280695306</v>
      </c>
    </row>
    <row r="105" spans="1:2" x14ac:dyDescent="0.35">
      <c r="A105" s="74">
        <v>36068</v>
      </c>
      <c r="B105">
        <v>1642.0405581424379</v>
      </c>
    </row>
    <row r="106" spans="1:2" x14ac:dyDescent="0.35">
      <c r="A106" s="74">
        <v>36099</v>
      </c>
      <c r="B106">
        <v>1620.8032320316902</v>
      </c>
    </row>
    <row r="107" spans="1:2" x14ac:dyDescent="0.35">
      <c r="A107" s="74">
        <v>36129</v>
      </c>
      <c r="B107">
        <v>1742.766765572155</v>
      </c>
    </row>
    <row r="108" spans="1:2" x14ac:dyDescent="0.35">
      <c r="A108" s="74">
        <v>36160</v>
      </c>
      <c r="B108">
        <v>1698.3155055345803</v>
      </c>
    </row>
    <row r="109" spans="1:2" x14ac:dyDescent="0.35">
      <c r="A109" s="74">
        <v>36191</v>
      </c>
      <c r="B109">
        <v>1474</v>
      </c>
    </row>
    <row r="110" spans="1:2" x14ac:dyDescent="0.35">
      <c r="A110" s="74">
        <v>36219</v>
      </c>
      <c r="B110">
        <v>1250</v>
      </c>
    </row>
    <row r="111" spans="1:2" x14ac:dyDescent="0.35">
      <c r="A111" s="74">
        <v>36250</v>
      </c>
      <c r="B111">
        <v>1178</v>
      </c>
    </row>
    <row r="112" spans="1:2" x14ac:dyDescent="0.35">
      <c r="A112" s="74">
        <v>36280</v>
      </c>
      <c r="B112">
        <v>1195</v>
      </c>
    </row>
    <row r="113" spans="1:2" x14ac:dyDescent="0.35">
      <c r="A113" s="74">
        <v>36311</v>
      </c>
      <c r="B113">
        <v>1322</v>
      </c>
    </row>
    <row r="114" spans="1:2" x14ac:dyDescent="0.35">
      <c r="A114" s="74">
        <v>36341</v>
      </c>
      <c r="B114">
        <v>1296</v>
      </c>
    </row>
    <row r="115" spans="1:2" x14ac:dyDescent="0.35">
      <c r="A115" s="74">
        <v>36372</v>
      </c>
      <c r="B115">
        <v>1249</v>
      </c>
    </row>
    <row r="116" spans="1:2" x14ac:dyDescent="0.35">
      <c r="A116" s="74">
        <v>36403</v>
      </c>
      <c r="B116">
        <v>1270</v>
      </c>
    </row>
    <row r="117" spans="1:2" x14ac:dyDescent="0.35">
      <c r="A117" s="74">
        <v>36433</v>
      </c>
      <c r="B117">
        <v>1274</v>
      </c>
    </row>
    <row r="118" spans="1:2" x14ac:dyDescent="0.35">
      <c r="A118" s="74">
        <v>36464</v>
      </c>
      <c r="B118">
        <v>1280</v>
      </c>
    </row>
    <row r="119" spans="1:2" x14ac:dyDescent="0.35">
      <c r="A119" s="74">
        <v>36494</v>
      </c>
      <c r="B119">
        <v>1224</v>
      </c>
    </row>
    <row r="120" spans="1:2" x14ac:dyDescent="0.35">
      <c r="A120" s="74">
        <v>36525</v>
      </c>
      <c r="B120">
        <v>1276</v>
      </c>
    </row>
    <row r="121" spans="1:2" x14ac:dyDescent="0.35">
      <c r="A121" s="74" t="s">
        <v>141</v>
      </c>
      <c r="B121">
        <v>852.62</v>
      </c>
    </row>
    <row r="122" spans="1:2" x14ac:dyDescent="0.35">
      <c r="A122" s="74">
        <v>36585</v>
      </c>
      <c r="B122">
        <v>909.75999999999988</v>
      </c>
    </row>
    <row r="123" spans="1:2" x14ac:dyDescent="0.35">
      <c r="A123" s="74">
        <v>36616</v>
      </c>
      <c r="B123">
        <v>778.86000000000013</v>
      </c>
    </row>
    <row r="124" spans="1:2" x14ac:dyDescent="0.35">
      <c r="A124" s="74">
        <v>36646</v>
      </c>
      <c r="B124">
        <v>938.6</v>
      </c>
    </row>
    <row r="125" spans="1:2" x14ac:dyDescent="0.35">
      <c r="A125" s="74">
        <v>36677</v>
      </c>
      <c r="B125">
        <v>890.78999999999985</v>
      </c>
    </row>
    <row r="126" spans="1:2" x14ac:dyDescent="0.35">
      <c r="A126" s="74">
        <v>36707</v>
      </c>
      <c r="B126">
        <v>890.89</v>
      </c>
    </row>
    <row r="127" spans="1:2" x14ac:dyDescent="0.35">
      <c r="A127" s="74">
        <v>36738</v>
      </c>
      <c r="B127">
        <v>873.75000000000011</v>
      </c>
    </row>
    <row r="128" spans="1:2" x14ac:dyDescent="0.35">
      <c r="A128" s="74">
        <v>36769</v>
      </c>
      <c r="B128">
        <v>834.96000000000015</v>
      </c>
    </row>
    <row r="129" spans="1:2" x14ac:dyDescent="0.35">
      <c r="A129" s="74">
        <v>36799</v>
      </c>
      <c r="B129">
        <v>1033.56</v>
      </c>
    </row>
    <row r="130" spans="1:2" x14ac:dyDescent="0.35">
      <c r="A130" s="74">
        <v>36830</v>
      </c>
      <c r="B130">
        <v>1189.5</v>
      </c>
    </row>
    <row r="131" spans="1:2" x14ac:dyDescent="0.35">
      <c r="A131" s="74">
        <v>36860</v>
      </c>
      <c r="B131">
        <v>1252.7199999999998</v>
      </c>
    </row>
    <row r="132" spans="1:2" x14ac:dyDescent="0.35">
      <c r="A132" s="74">
        <v>36891</v>
      </c>
      <c r="B132">
        <v>1179.6899999999998</v>
      </c>
    </row>
    <row r="133" spans="1:2" x14ac:dyDescent="0.35">
      <c r="A133" s="74">
        <v>36922</v>
      </c>
      <c r="B133">
        <v>970.11061100000006</v>
      </c>
    </row>
    <row r="134" spans="1:2" x14ac:dyDescent="0.35">
      <c r="A134" s="74">
        <v>36950</v>
      </c>
      <c r="B134">
        <v>906.11933400000009</v>
      </c>
    </row>
    <row r="135" spans="1:2" x14ac:dyDescent="0.35">
      <c r="A135" s="74">
        <v>36981</v>
      </c>
      <c r="B135">
        <v>953.98342699999978</v>
      </c>
    </row>
    <row r="136" spans="1:2" x14ac:dyDescent="0.35">
      <c r="A136" s="74">
        <v>37011</v>
      </c>
      <c r="B136">
        <v>1136.5065779999998</v>
      </c>
    </row>
    <row r="137" spans="1:2" x14ac:dyDescent="0.35">
      <c r="A137" s="74">
        <v>37042</v>
      </c>
      <c r="B137">
        <v>1068.5599330000002</v>
      </c>
    </row>
    <row r="138" spans="1:2" x14ac:dyDescent="0.35">
      <c r="A138" s="74">
        <v>37072</v>
      </c>
      <c r="B138">
        <v>1204.203064</v>
      </c>
    </row>
    <row r="139" spans="1:2" x14ac:dyDescent="0.35">
      <c r="A139" s="74">
        <v>37103</v>
      </c>
      <c r="B139">
        <v>1183.8141309999999</v>
      </c>
    </row>
    <row r="140" spans="1:2" x14ac:dyDescent="0.35">
      <c r="A140" s="74">
        <v>37134</v>
      </c>
      <c r="B140">
        <v>1116.2669249999999</v>
      </c>
    </row>
    <row r="141" spans="1:2" x14ac:dyDescent="0.35">
      <c r="A141" s="74">
        <v>37164</v>
      </c>
      <c r="B141">
        <v>1160.5902360000002</v>
      </c>
    </row>
    <row r="142" spans="1:2" x14ac:dyDescent="0.35">
      <c r="A142" s="74">
        <v>37195</v>
      </c>
      <c r="B142">
        <v>1210.2913050000002</v>
      </c>
    </row>
    <row r="143" spans="1:2" x14ac:dyDescent="0.35">
      <c r="A143" s="74">
        <v>37225</v>
      </c>
      <c r="B143">
        <v>1116.114386</v>
      </c>
    </row>
    <row r="144" spans="1:2" x14ac:dyDescent="0.35">
      <c r="A144" s="74">
        <v>37256</v>
      </c>
      <c r="B144">
        <v>1073.806646</v>
      </c>
    </row>
    <row r="145" spans="1:2" x14ac:dyDescent="0.35">
      <c r="A145" s="74">
        <v>37287</v>
      </c>
      <c r="B145">
        <v>1120.7784729999996</v>
      </c>
    </row>
    <row r="146" spans="1:2" x14ac:dyDescent="0.35">
      <c r="A146" s="74">
        <v>37315</v>
      </c>
      <c r="B146">
        <v>1103.3449569999998</v>
      </c>
    </row>
    <row r="147" spans="1:2" x14ac:dyDescent="0.35">
      <c r="A147" s="74">
        <v>37346</v>
      </c>
      <c r="B147">
        <v>1032.6782470000001</v>
      </c>
    </row>
    <row r="148" spans="1:2" x14ac:dyDescent="0.35">
      <c r="A148" s="74">
        <v>37376</v>
      </c>
      <c r="B148">
        <v>1096.9443649999998</v>
      </c>
    </row>
    <row r="149" spans="1:2" x14ac:dyDescent="0.35">
      <c r="A149" s="74">
        <v>37407</v>
      </c>
      <c r="B149">
        <v>1124.1205530000002</v>
      </c>
    </row>
    <row r="150" spans="1:2" x14ac:dyDescent="0.35">
      <c r="A150" s="74">
        <v>37437</v>
      </c>
      <c r="B150">
        <v>1173.3705009999999</v>
      </c>
    </row>
    <row r="151" spans="1:2" x14ac:dyDescent="0.35">
      <c r="A151" s="74">
        <v>37468</v>
      </c>
      <c r="B151">
        <v>1171.1048310000001</v>
      </c>
    </row>
    <row r="152" spans="1:2" x14ac:dyDescent="0.35">
      <c r="A152" s="74">
        <v>37499</v>
      </c>
      <c r="B152">
        <v>1120.489613</v>
      </c>
    </row>
    <row r="153" spans="1:2" x14ac:dyDescent="0.35">
      <c r="A153" s="74">
        <v>37529</v>
      </c>
      <c r="B153">
        <v>1174.47</v>
      </c>
    </row>
    <row r="154" spans="1:2" x14ac:dyDescent="0.35">
      <c r="A154" s="74">
        <v>37560</v>
      </c>
      <c r="B154">
        <v>1175.5708709999999</v>
      </c>
    </row>
    <row r="155" spans="1:2" x14ac:dyDescent="0.35">
      <c r="A155" s="74">
        <v>37590</v>
      </c>
      <c r="B155">
        <v>1080.3299440000001</v>
      </c>
    </row>
    <row r="156" spans="1:2" x14ac:dyDescent="0.35">
      <c r="A156" s="74">
        <v>37621</v>
      </c>
      <c r="B156">
        <v>1007.9871900000001</v>
      </c>
    </row>
    <row r="157" spans="1:2" x14ac:dyDescent="0.35">
      <c r="A157" s="74">
        <v>37652</v>
      </c>
      <c r="B157">
        <v>1031.9491190000001</v>
      </c>
    </row>
    <row r="158" spans="1:2" x14ac:dyDescent="0.35">
      <c r="A158" s="74">
        <v>37680</v>
      </c>
      <c r="B158">
        <v>913.24408499999981</v>
      </c>
    </row>
    <row r="159" spans="1:2" x14ac:dyDescent="0.35">
      <c r="A159" s="74">
        <v>37711</v>
      </c>
      <c r="B159">
        <v>1053.9443310000004</v>
      </c>
    </row>
    <row r="160" spans="1:2" x14ac:dyDescent="0.35">
      <c r="A160" s="74">
        <v>37741</v>
      </c>
      <c r="B160">
        <v>1134.0370809999999</v>
      </c>
    </row>
    <row r="161" spans="1:2" x14ac:dyDescent="0.35">
      <c r="A161" s="74">
        <v>37772</v>
      </c>
      <c r="B161">
        <v>1090.755042</v>
      </c>
    </row>
    <row r="162" spans="1:2" x14ac:dyDescent="0.35">
      <c r="A162" s="74">
        <v>37802</v>
      </c>
      <c r="B162">
        <v>1054.1761650000003</v>
      </c>
    </row>
    <row r="163" spans="1:2" x14ac:dyDescent="0.35">
      <c r="A163" s="74">
        <v>37833</v>
      </c>
      <c r="B163">
        <v>1190.583124</v>
      </c>
    </row>
    <row r="164" spans="1:2" x14ac:dyDescent="0.35">
      <c r="A164" s="74">
        <v>37864</v>
      </c>
      <c r="B164">
        <v>1229.3117730000001</v>
      </c>
    </row>
    <row r="165" spans="1:2" x14ac:dyDescent="0.35">
      <c r="A165" s="74">
        <v>37894</v>
      </c>
      <c r="B165">
        <v>1318.3500000000001</v>
      </c>
    </row>
    <row r="166" spans="1:2" x14ac:dyDescent="0.35">
      <c r="A166" s="74">
        <v>37925</v>
      </c>
      <c r="B166">
        <v>1379.1699999999998</v>
      </c>
    </row>
    <row r="167" spans="1:2" x14ac:dyDescent="0.35">
      <c r="A167" s="74">
        <v>37955</v>
      </c>
      <c r="B167">
        <v>1365.4043080000001</v>
      </c>
    </row>
    <row r="168" spans="1:2" x14ac:dyDescent="0.35">
      <c r="A168" s="74">
        <v>37986</v>
      </c>
      <c r="B168">
        <v>1160.4024779999997</v>
      </c>
    </row>
    <row r="169" spans="1:2" x14ac:dyDescent="0.35">
      <c r="A169" s="74">
        <v>38017</v>
      </c>
      <c r="B169">
        <v>1240.42</v>
      </c>
    </row>
    <row r="170" spans="1:2" x14ac:dyDescent="0.35">
      <c r="A170" s="74">
        <v>38046</v>
      </c>
      <c r="B170">
        <v>1206.5700000000002</v>
      </c>
    </row>
    <row r="171" spans="1:2" x14ac:dyDescent="0.35">
      <c r="A171" s="74">
        <v>38077</v>
      </c>
      <c r="B171">
        <v>1181.6199999999994</v>
      </c>
    </row>
    <row r="172" spans="1:2" x14ac:dyDescent="0.35">
      <c r="A172" s="74">
        <v>38107</v>
      </c>
      <c r="B172">
        <v>1236.06</v>
      </c>
    </row>
    <row r="173" spans="1:2" x14ac:dyDescent="0.35">
      <c r="A173" s="74">
        <v>38138</v>
      </c>
      <c r="B173">
        <v>1232.9817969999999</v>
      </c>
    </row>
    <row r="174" spans="1:2" x14ac:dyDescent="0.35">
      <c r="A174" s="74">
        <v>38168</v>
      </c>
      <c r="B174">
        <v>1216.809769</v>
      </c>
    </row>
    <row r="175" spans="1:2" x14ac:dyDescent="0.35">
      <c r="A175" s="74">
        <v>38199</v>
      </c>
      <c r="B175">
        <v>1319.3095449999998</v>
      </c>
    </row>
    <row r="176" spans="1:2" x14ac:dyDescent="0.35">
      <c r="A176" s="74">
        <v>38230</v>
      </c>
      <c r="B176">
        <v>1370.7371930000002</v>
      </c>
    </row>
    <row r="177" spans="1:2" x14ac:dyDescent="0.35">
      <c r="A177" s="74">
        <v>38260</v>
      </c>
      <c r="B177">
        <v>1530.841095</v>
      </c>
    </row>
    <row r="178" spans="1:2" x14ac:dyDescent="0.35">
      <c r="A178" s="74">
        <v>38291</v>
      </c>
      <c r="B178">
        <v>1614.5379380000002</v>
      </c>
    </row>
    <row r="179" spans="1:2" x14ac:dyDescent="0.35">
      <c r="A179" s="74">
        <v>38321</v>
      </c>
      <c r="B179">
        <v>1549.3114880000003</v>
      </c>
    </row>
    <row r="180" spans="1:2" x14ac:dyDescent="0.35">
      <c r="A180" s="74">
        <v>38352</v>
      </c>
      <c r="B180">
        <v>1437.32</v>
      </c>
    </row>
    <row r="181" spans="1:2" x14ac:dyDescent="0.35">
      <c r="A181" s="74">
        <v>38383</v>
      </c>
      <c r="B181">
        <v>1506.8452490000002</v>
      </c>
    </row>
    <row r="182" spans="1:2" x14ac:dyDescent="0.35">
      <c r="A182" s="74">
        <v>38411</v>
      </c>
      <c r="B182">
        <v>1357.240333</v>
      </c>
    </row>
    <row r="183" spans="1:2" x14ac:dyDescent="0.35">
      <c r="A183" s="74">
        <v>38442</v>
      </c>
      <c r="B183">
        <v>1386.5</v>
      </c>
    </row>
    <row r="184" spans="1:2" x14ac:dyDescent="0.35">
      <c r="A184" s="74">
        <v>38472</v>
      </c>
      <c r="B184">
        <v>1701.810655</v>
      </c>
    </row>
    <row r="185" spans="1:2" x14ac:dyDescent="0.35">
      <c r="A185" s="74">
        <v>38503</v>
      </c>
      <c r="B185">
        <v>1526.0233840000001</v>
      </c>
    </row>
    <row r="186" spans="1:2" x14ac:dyDescent="0.35">
      <c r="A186" s="74">
        <v>38533</v>
      </c>
      <c r="B186">
        <v>1586.2269249999999</v>
      </c>
    </row>
    <row r="187" spans="1:2" x14ac:dyDescent="0.35">
      <c r="A187" s="74">
        <v>38564</v>
      </c>
      <c r="B187">
        <v>1787.8650730000002</v>
      </c>
    </row>
    <row r="188" spans="1:2" x14ac:dyDescent="0.35">
      <c r="A188" s="74">
        <v>38595</v>
      </c>
      <c r="B188">
        <v>1848.0851090000001</v>
      </c>
    </row>
    <row r="189" spans="1:2" x14ac:dyDescent="0.35">
      <c r="A189" s="74">
        <v>38625</v>
      </c>
      <c r="B189">
        <v>1967.7857309999999</v>
      </c>
    </row>
    <row r="190" spans="1:2" x14ac:dyDescent="0.35">
      <c r="A190" s="74">
        <v>38656</v>
      </c>
      <c r="B190">
        <v>1977.7321029999998</v>
      </c>
    </row>
    <row r="191" spans="1:2" x14ac:dyDescent="0.35">
      <c r="A191" s="74">
        <v>38686</v>
      </c>
      <c r="B191">
        <v>1983.2322939999999</v>
      </c>
    </row>
    <row r="192" spans="1:2" x14ac:dyDescent="0.35">
      <c r="A192" s="74">
        <v>38717</v>
      </c>
      <c r="B192">
        <v>2146.8973780000001</v>
      </c>
    </row>
    <row r="193" spans="1:2" x14ac:dyDescent="0.35">
      <c r="A193" s="74">
        <v>38748</v>
      </c>
      <c r="B193">
        <v>1939.9202560000001</v>
      </c>
    </row>
    <row r="194" spans="1:2" x14ac:dyDescent="0.35">
      <c r="A194" s="74">
        <v>38776</v>
      </c>
      <c r="B194">
        <v>1913.4878289999999</v>
      </c>
    </row>
    <row r="195" spans="1:2" x14ac:dyDescent="0.35">
      <c r="A195" s="74">
        <v>38807</v>
      </c>
      <c r="B195">
        <v>2350.7400000000002</v>
      </c>
    </row>
    <row r="196" spans="1:2" x14ac:dyDescent="0.35">
      <c r="A196" s="74">
        <v>38837</v>
      </c>
      <c r="B196">
        <v>2701.3299999999995</v>
      </c>
    </row>
    <row r="197" spans="1:2" x14ac:dyDescent="0.35">
      <c r="A197" s="74">
        <v>38868</v>
      </c>
      <c r="B197">
        <v>2229.7315230000004</v>
      </c>
    </row>
    <row r="198" spans="1:2" x14ac:dyDescent="0.35">
      <c r="A198" s="74">
        <v>38898</v>
      </c>
      <c r="B198">
        <v>2264.1</v>
      </c>
    </row>
    <row r="199" spans="1:2" x14ac:dyDescent="0.35">
      <c r="A199" s="74">
        <v>38929</v>
      </c>
      <c r="B199">
        <v>2398.8000000000002</v>
      </c>
    </row>
    <row r="200" spans="1:2" x14ac:dyDescent="0.35">
      <c r="A200" s="74">
        <v>38960</v>
      </c>
      <c r="B200">
        <v>2660.17</v>
      </c>
    </row>
    <row r="201" spans="1:2" x14ac:dyDescent="0.35">
      <c r="A201" s="74">
        <v>38990</v>
      </c>
      <c r="B201">
        <v>2853.8014210000001</v>
      </c>
    </row>
    <row r="202" spans="1:2" x14ac:dyDescent="0.35">
      <c r="A202" s="74">
        <v>39021</v>
      </c>
      <c r="B202">
        <v>2991.68</v>
      </c>
    </row>
    <row r="203" spans="1:2" x14ac:dyDescent="0.35">
      <c r="A203" s="74">
        <v>39051</v>
      </c>
      <c r="B203">
        <v>2412.9700000000003</v>
      </c>
    </row>
    <row r="204" spans="1:2" x14ac:dyDescent="0.35">
      <c r="A204" s="74">
        <v>39082</v>
      </c>
      <c r="B204">
        <v>2023.34</v>
      </c>
    </row>
    <row r="205" spans="1:2" x14ac:dyDescent="0.35">
      <c r="A205" s="74">
        <v>39113</v>
      </c>
      <c r="B205">
        <v>2124.0500000000002</v>
      </c>
    </row>
    <row r="206" spans="1:2" x14ac:dyDescent="0.35">
      <c r="A206" s="74">
        <v>39141</v>
      </c>
      <c r="B206">
        <v>2468.6799999999998</v>
      </c>
    </row>
    <row r="207" spans="1:2" x14ac:dyDescent="0.35">
      <c r="A207" s="74">
        <v>39172</v>
      </c>
      <c r="B207">
        <v>2182.3700000000003</v>
      </c>
    </row>
    <row r="208" spans="1:2" x14ac:dyDescent="0.35">
      <c r="A208" s="74">
        <v>39202</v>
      </c>
      <c r="B208">
        <v>2801.2299999999996</v>
      </c>
    </row>
    <row r="209" spans="1:2" x14ac:dyDescent="0.35">
      <c r="A209" s="74">
        <v>39233</v>
      </c>
      <c r="B209">
        <v>3076.34</v>
      </c>
    </row>
    <row r="210" spans="1:2" x14ac:dyDescent="0.35">
      <c r="A210" s="74">
        <v>39263</v>
      </c>
      <c r="B210">
        <v>3204.3800000000006</v>
      </c>
    </row>
    <row r="211" spans="1:2" x14ac:dyDescent="0.35">
      <c r="A211" s="74">
        <v>39294</v>
      </c>
      <c r="B211">
        <v>3440.77</v>
      </c>
    </row>
    <row r="212" spans="1:2" x14ac:dyDescent="0.35">
      <c r="A212" s="74">
        <v>39325</v>
      </c>
      <c r="B212">
        <v>3510.0699999999997</v>
      </c>
    </row>
    <row r="213" spans="1:2" x14ac:dyDescent="0.35">
      <c r="A213" s="74">
        <v>39355</v>
      </c>
      <c r="B213">
        <v>3611.12</v>
      </c>
    </row>
    <row r="214" spans="1:2" x14ac:dyDescent="0.35">
      <c r="A214" s="74">
        <v>39386</v>
      </c>
      <c r="B214">
        <v>3690.85</v>
      </c>
    </row>
    <row r="215" spans="1:2" x14ac:dyDescent="0.35">
      <c r="A215" s="74">
        <v>39416</v>
      </c>
      <c r="B215">
        <v>3617.7799999999997</v>
      </c>
    </row>
    <row r="216" spans="1:2" x14ac:dyDescent="0.35">
      <c r="A216" s="74">
        <v>39447</v>
      </c>
      <c r="B216">
        <v>3520.84</v>
      </c>
    </row>
    <row r="217" spans="1:2" x14ac:dyDescent="0.35">
      <c r="A217" s="74">
        <v>39478</v>
      </c>
      <c r="B217">
        <v>3511.0512559999997</v>
      </c>
    </row>
    <row r="218" spans="1:2" x14ac:dyDescent="0.35">
      <c r="A218" s="74">
        <v>39507</v>
      </c>
      <c r="B218">
        <v>3989.4212299999999</v>
      </c>
    </row>
    <row r="219" spans="1:2" x14ac:dyDescent="0.35">
      <c r="A219" s="74">
        <v>39538</v>
      </c>
      <c r="B219">
        <v>4143.5527659999998</v>
      </c>
    </row>
    <row r="220" spans="1:2" x14ac:dyDescent="0.35">
      <c r="A220" s="74">
        <v>39568</v>
      </c>
      <c r="B220">
        <v>5599.1133959999997</v>
      </c>
    </row>
    <row r="221" spans="1:2" x14ac:dyDescent="0.35">
      <c r="A221" s="74">
        <v>39599</v>
      </c>
      <c r="B221">
        <v>5874.7228610000002</v>
      </c>
    </row>
    <row r="222" spans="1:2" x14ac:dyDescent="0.35">
      <c r="A222" s="74">
        <v>39629</v>
      </c>
      <c r="B222">
        <v>6103.1229109999995</v>
      </c>
    </row>
    <row r="223" spans="1:2" x14ac:dyDescent="0.35">
      <c r="A223" s="74">
        <v>39660</v>
      </c>
      <c r="B223">
        <v>6161.4124189999993</v>
      </c>
    </row>
    <row r="224" spans="1:2" x14ac:dyDescent="0.35">
      <c r="A224" s="74">
        <v>39691</v>
      </c>
      <c r="B224">
        <v>6372.3133219999991</v>
      </c>
    </row>
    <row r="225" spans="1:2" x14ac:dyDescent="0.35">
      <c r="A225" s="74">
        <v>39721</v>
      </c>
      <c r="B225">
        <v>6511.4455799999996</v>
      </c>
    </row>
    <row r="226" spans="1:2" x14ac:dyDescent="0.35">
      <c r="A226" s="74">
        <v>39752</v>
      </c>
      <c r="B226">
        <v>6273.5616729999992</v>
      </c>
    </row>
    <row r="227" spans="1:2" x14ac:dyDescent="0.35">
      <c r="A227" s="74">
        <v>39782</v>
      </c>
      <c r="B227">
        <v>6011.4973030000001</v>
      </c>
    </row>
    <row r="228" spans="1:2" x14ac:dyDescent="0.35">
      <c r="A228" s="74">
        <v>39813</v>
      </c>
      <c r="B228">
        <v>4473.0690229999991</v>
      </c>
    </row>
    <row r="229" spans="1:2" x14ac:dyDescent="0.35">
      <c r="A229" s="74">
        <v>39844</v>
      </c>
      <c r="B229">
        <v>4271.6177530000004</v>
      </c>
    </row>
    <row r="230" spans="1:2" x14ac:dyDescent="0.35">
      <c r="A230" s="74">
        <v>39872</v>
      </c>
      <c r="B230">
        <v>3996.5062069999999</v>
      </c>
    </row>
    <row r="231" spans="1:2" x14ac:dyDescent="0.35">
      <c r="A231" s="74">
        <v>39903</v>
      </c>
      <c r="B231">
        <v>3244.0725940000002</v>
      </c>
    </row>
    <row r="232" spans="1:2" x14ac:dyDescent="0.35">
      <c r="A232" s="74">
        <v>39933</v>
      </c>
      <c r="B232">
        <v>3142.264651</v>
      </c>
    </row>
    <row r="233" spans="1:2" x14ac:dyDescent="0.35">
      <c r="A233" s="74">
        <v>39964</v>
      </c>
      <c r="B233">
        <v>2594.3993459999997</v>
      </c>
    </row>
    <row r="234" spans="1:2" x14ac:dyDescent="0.35">
      <c r="A234" s="74">
        <v>39994</v>
      </c>
      <c r="B234">
        <v>2675.0155360000003</v>
      </c>
    </row>
    <row r="235" spans="1:2" x14ac:dyDescent="0.35">
      <c r="A235" s="74">
        <v>40025</v>
      </c>
      <c r="B235">
        <v>3151.7757340000003</v>
      </c>
    </row>
    <row r="236" spans="1:2" x14ac:dyDescent="0.35">
      <c r="A236" s="74">
        <v>40056</v>
      </c>
      <c r="B236">
        <v>3921.5956430000001</v>
      </c>
    </row>
    <row r="237" spans="1:2" x14ac:dyDescent="0.35">
      <c r="A237" s="74">
        <v>40086</v>
      </c>
      <c r="B237">
        <v>4624.7092720000001</v>
      </c>
    </row>
    <row r="238" spans="1:2" x14ac:dyDescent="0.35">
      <c r="A238" s="74">
        <v>40117</v>
      </c>
      <c r="B238">
        <v>4604.7854560000005</v>
      </c>
    </row>
    <row r="239" spans="1:2" x14ac:dyDescent="0.35">
      <c r="A239" s="74">
        <v>40147</v>
      </c>
      <c r="B239">
        <v>5236.6674000000003</v>
      </c>
    </row>
    <row r="240" spans="1:2" x14ac:dyDescent="0.35">
      <c r="A240" s="74">
        <v>40178</v>
      </c>
      <c r="B240">
        <v>3792.0509440000001</v>
      </c>
    </row>
    <row r="241" spans="1:2" x14ac:dyDescent="0.35">
      <c r="A241" s="74">
        <v>40209</v>
      </c>
      <c r="B241">
        <v>3918.2043509999999</v>
      </c>
    </row>
    <row r="242" spans="1:2" x14ac:dyDescent="0.35">
      <c r="A242" s="74">
        <v>40237</v>
      </c>
      <c r="B242">
        <v>3602.9901529999993</v>
      </c>
    </row>
    <row r="243" spans="1:2" x14ac:dyDescent="0.35">
      <c r="A243" s="74">
        <v>40268</v>
      </c>
      <c r="B243">
        <v>4007.0645660000005</v>
      </c>
    </row>
    <row r="244" spans="1:2" x14ac:dyDescent="0.35">
      <c r="A244" s="74">
        <v>40298</v>
      </c>
      <c r="B244">
        <v>4321.9859769999994</v>
      </c>
    </row>
    <row r="245" spans="1:2" x14ac:dyDescent="0.35">
      <c r="A245" s="74">
        <v>40329</v>
      </c>
      <c r="B245">
        <v>4575.3279059999995</v>
      </c>
    </row>
    <row r="246" spans="1:2" x14ac:dyDescent="0.35">
      <c r="A246" s="74">
        <v>40359</v>
      </c>
      <c r="B246">
        <v>4103.5394740000002</v>
      </c>
    </row>
    <row r="247" spans="1:2" x14ac:dyDescent="0.35">
      <c r="A247" s="74">
        <v>40390</v>
      </c>
      <c r="B247">
        <v>3857.6042550000002</v>
      </c>
    </row>
    <row r="248" spans="1:2" x14ac:dyDescent="0.35">
      <c r="A248" s="74">
        <v>40421</v>
      </c>
      <c r="B248">
        <v>3490.4040810000001</v>
      </c>
    </row>
    <row r="249" spans="1:2" x14ac:dyDescent="0.35">
      <c r="A249" s="74">
        <v>40451</v>
      </c>
      <c r="B249">
        <v>4353.3703539999997</v>
      </c>
    </row>
    <row r="250" spans="1:2" x14ac:dyDescent="0.35">
      <c r="A250" s="74">
        <v>40482</v>
      </c>
      <c r="B250">
        <v>3668.8799779999995</v>
      </c>
    </row>
    <row r="251" spans="1:2" x14ac:dyDescent="0.35">
      <c r="A251" s="74">
        <v>40512</v>
      </c>
      <c r="B251">
        <v>3451.1235320000005</v>
      </c>
    </row>
    <row r="252" spans="1:2" x14ac:dyDescent="0.35">
      <c r="A252" s="74">
        <v>40543</v>
      </c>
      <c r="B252">
        <v>2622.0537079999999</v>
      </c>
    </row>
    <row r="253" spans="1:2" x14ac:dyDescent="0.35">
      <c r="A253" s="74">
        <v>40574</v>
      </c>
      <c r="B253">
        <v>2869.4521439999999</v>
      </c>
    </row>
    <row r="254" spans="1:2" x14ac:dyDescent="0.35">
      <c r="A254" s="74">
        <v>40602</v>
      </c>
      <c r="B254">
        <v>3906.9429440000004</v>
      </c>
    </row>
    <row r="255" spans="1:2" x14ac:dyDescent="0.35">
      <c r="A255" s="74">
        <v>40633</v>
      </c>
      <c r="B255">
        <v>3947.4860140000001</v>
      </c>
    </row>
    <row r="256" spans="1:2" x14ac:dyDescent="0.35">
      <c r="A256" s="74">
        <v>40663</v>
      </c>
      <c r="B256">
        <v>4164.8411400000005</v>
      </c>
    </row>
    <row r="257" spans="1:2" x14ac:dyDescent="0.35">
      <c r="A257" s="74">
        <v>40694</v>
      </c>
      <c r="B257">
        <v>3884.3417130000003</v>
      </c>
    </row>
    <row r="258" spans="1:2" x14ac:dyDescent="0.35">
      <c r="A258" s="74">
        <v>40724</v>
      </c>
      <c r="B258">
        <v>3841.4849830000003</v>
      </c>
    </row>
    <row r="259" spans="1:2" x14ac:dyDescent="0.35">
      <c r="A259" s="74">
        <v>40755</v>
      </c>
      <c r="B259">
        <v>3980.6705480000005</v>
      </c>
    </row>
    <row r="260" spans="1:2" x14ac:dyDescent="0.35">
      <c r="A260" s="74">
        <v>40786</v>
      </c>
      <c r="B260">
        <v>4124.6200679999993</v>
      </c>
    </row>
    <row r="261" spans="1:2" x14ac:dyDescent="0.35">
      <c r="A261" s="74">
        <v>40816</v>
      </c>
      <c r="B261">
        <v>3635.4181870000002</v>
      </c>
    </row>
    <row r="262" spans="1:2" x14ac:dyDescent="0.35">
      <c r="A262" s="74">
        <v>40847</v>
      </c>
      <c r="B262">
        <v>4548.5911429999996</v>
      </c>
    </row>
    <row r="263" spans="1:2" x14ac:dyDescent="0.35">
      <c r="A263" s="74">
        <v>40877</v>
      </c>
      <c r="B263">
        <v>4093.6840159999997</v>
      </c>
    </row>
    <row r="264" spans="1:2" x14ac:dyDescent="0.35">
      <c r="A264" s="74">
        <v>40908</v>
      </c>
      <c r="B264">
        <v>2957.6202840000001</v>
      </c>
    </row>
    <row r="265" spans="1:2" x14ac:dyDescent="0.35">
      <c r="A265" s="74">
        <v>40939</v>
      </c>
      <c r="B265">
        <v>3371.3787629999997</v>
      </c>
    </row>
    <row r="266" spans="1:2" x14ac:dyDescent="0.35">
      <c r="A266" s="74">
        <v>40968</v>
      </c>
      <c r="B266">
        <v>3375.5372480000001</v>
      </c>
    </row>
    <row r="267" spans="1:2" x14ac:dyDescent="0.35">
      <c r="A267" s="74">
        <v>40999</v>
      </c>
      <c r="B267">
        <v>3368.0891019999999</v>
      </c>
    </row>
    <row r="268" spans="1:2" x14ac:dyDescent="0.35">
      <c r="A268" s="74">
        <v>41029</v>
      </c>
      <c r="B268">
        <v>3787.3850979999993</v>
      </c>
    </row>
    <row r="269" spans="1:2" x14ac:dyDescent="0.35">
      <c r="A269" s="74">
        <v>41060</v>
      </c>
      <c r="B269">
        <v>3918.0823879999998</v>
      </c>
    </row>
    <row r="270" spans="1:2" x14ac:dyDescent="0.35">
      <c r="A270" s="74">
        <v>41090</v>
      </c>
      <c r="B270">
        <v>3930.9167700000003</v>
      </c>
    </row>
    <row r="271" spans="1:2" x14ac:dyDescent="0.35">
      <c r="A271" s="74">
        <v>41121</v>
      </c>
      <c r="B271">
        <v>4040.3207910000006</v>
      </c>
    </row>
    <row r="272" spans="1:2" x14ac:dyDescent="0.35">
      <c r="A272" s="74">
        <v>41152</v>
      </c>
      <c r="B272">
        <v>4218.8139609999998</v>
      </c>
    </row>
    <row r="273" spans="1:2" x14ac:dyDescent="0.35">
      <c r="A273" s="74">
        <v>41182</v>
      </c>
      <c r="B273">
        <v>4883.431682999998</v>
      </c>
    </row>
    <row r="274" spans="1:2" x14ac:dyDescent="0.35">
      <c r="A274" s="74">
        <v>41213</v>
      </c>
      <c r="B274">
        <v>4033.1888179999996</v>
      </c>
    </row>
    <row r="275" spans="1:2" x14ac:dyDescent="0.35">
      <c r="A275" s="74">
        <v>41243</v>
      </c>
      <c r="B275">
        <v>3442.9640979999999</v>
      </c>
    </row>
    <row r="276" spans="1:2" x14ac:dyDescent="0.35">
      <c r="A276" s="74">
        <v>41274</v>
      </c>
      <c r="B276">
        <v>2482.528069</v>
      </c>
    </row>
    <row r="277" spans="1:2" x14ac:dyDescent="0.35">
      <c r="A277" s="74">
        <v>41305</v>
      </c>
      <c r="B277">
        <v>2827.1006069999999</v>
      </c>
    </row>
    <row r="278" spans="1:2" x14ac:dyDescent="0.35">
      <c r="A278" s="74">
        <v>41333</v>
      </c>
      <c r="B278">
        <v>4212.8118990000003</v>
      </c>
    </row>
    <row r="279" spans="1:2" x14ac:dyDescent="0.35">
      <c r="A279" s="74">
        <v>41364</v>
      </c>
      <c r="B279">
        <v>4373.0264099999995</v>
      </c>
    </row>
    <row r="280" spans="1:2" x14ac:dyDescent="0.35">
      <c r="A280" s="74">
        <v>41394</v>
      </c>
      <c r="B280">
        <v>4660.8657290000001</v>
      </c>
    </row>
    <row r="281" spans="1:2" x14ac:dyDescent="0.35">
      <c r="A281" s="74">
        <v>41425</v>
      </c>
      <c r="B281">
        <v>4191.0997150000003</v>
      </c>
    </row>
    <row r="282" spans="1:2" x14ac:dyDescent="0.35">
      <c r="A282" s="74">
        <v>41455</v>
      </c>
      <c r="B282">
        <v>3760.54493</v>
      </c>
    </row>
    <row r="283" spans="1:2" x14ac:dyDescent="0.35">
      <c r="A283" s="74">
        <v>41486</v>
      </c>
      <c r="B283">
        <v>3670.0080170000001</v>
      </c>
    </row>
    <row r="284" spans="1:2" x14ac:dyDescent="0.35">
      <c r="A284" s="74">
        <v>41517</v>
      </c>
      <c r="B284">
        <v>4508.1204420000004</v>
      </c>
    </row>
    <row r="285" spans="1:2" x14ac:dyDescent="0.35">
      <c r="A285" s="74">
        <v>41547</v>
      </c>
      <c r="B285">
        <v>4233.4999710000002</v>
      </c>
    </row>
    <row r="286" spans="1:2" x14ac:dyDescent="0.35">
      <c r="A286" s="74">
        <v>41578</v>
      </c>
      <c r="B286">
        <v>4206.0046299999995</v>
      </c>
    </row>
    <row r="287" spans="1:2" x14ac:dyDescent="0.35">
      <c r="A287" s="74">
        <v>41608</v>
      </c>
      <c r="B287">
        <v>4051.0578420000002</v>
      </c>
    </row>
    <row r="288" spans="1:2" x14ac:dyDescent="0.35">
      <c r="A288" s="74">
        <v>41639</v>
      </c>
      <c r="B288">
        <v>4360.5216580000006</v>
      </c>
    </row>
    <row r="289" spans="1:2" x14ac:dyDescent="0.35">
      <c r="A289" s="74">
        <v>41670</v>
      </c>
      <c r="B289">
        <v>4182.7264599999999</v>
      </c>
    </row>
    <row r="290" spans="1:2" x14ac:dyDescent="0.35">
      <c r="A290" s="74">
        <v>41698</v>
      </c>
      <c r="B290">
        <v>4332.4056270000001</v>
      </c>
    </row>
    <row r="291" spans="1:2" x14ac:dyDescent="0.35">
      <c r="A291" s="74">
        <v>41729</v>
      </c>
      <c r="B291">
        <v>3976.251628</v>
      </c>
    </row>
    <row r="292" spans="1:2" x14ac:dyDescent="0.35">
      <c r="A292" s="74">
        <v>41759</v>
      </c>
      <c r="B292">
        <v>3568.8924619999998</v>
      </c>
    </row>
    <row r="293" spans="1:2" x14ac:dyDescent="0.35">
      <c r="A293" s="74">
        <v>41790</v>
      </c>
      <c r="B293">
        <v>4010.3070989999997</v>
      </c>
    </row>
    <row r="294" spans="1:2" x14ac:dyDescent="0.35">
      <c r="A294" s="74">
        <v>41820</v>
      </c>
      <c r="B294">
        <v>5822.4181969999991</v>
      </c>
    </row>
    <row r="295" spans="1:2" x14ac:dyDescent="0.35">
      <c r="A295" s="74">
        <v>41851</v>
      </c>
      <c r="B295">
        <v>5557.3942390000002</v>
      </c>
    </row>
    <row r="296" spans="1:2" x14ac:dyDescent="0.35">
      <c r="A296" s="74">
        <v>41882</v>
      </c>
      <c r="B296">
        <v>6171.2039249999998</v>
      </c>
    </row>
    <row r="297" spans="1:2" x14ac:dyDescent="0.35">
      <c r="A297" s="74" t="s">
        <v>140</v>
      </c>
      <c r="B297">
        <v>6689.2281199999998</v>
      </c>
    </row>
    <row r="298" spans="1:2" x14ac:dyDescent="0.35">
      <c r="A298" s="74">
        <v>41943</v>
      </c>
      <c r="B298">
        <v>6002.5727770000003</v>
      </c>
    </row>
    <row r="299" spans="1:2" x14ac:dyDescent="0.35">
      <c r="A299" s="74">
        <v>41973</v>
      </c>
      <c r="B299">
        <v>5863.3020500000002</v>
      </c>
    </row>
    <row r="300" spans="1:2" x14ac:dyDescent="0.35">
      <c r="A300" s="74">
        <v>42004</v>
      </c>
      <c r="B300">
        <v>3949.0695759999999</v>
      </c>
    </row>
    <row r="301" spans="1:2" x14ac:dyDescent="0.35">
      <c r="A301" s="74">
        <v>42035</v>
      </c>
      <c r="B301">
        <v>3654.6880019999999</v>
      </c>
    </row>
    <row r="302" spans="1:2" x14ac:dyDescent="0.35">
      <c r="A302" s="74">
        <v>42063</v>
      </c>
      <c r="B302">
        <v>3717.3013890000002</v>
      </c>
    </row>
    <row r="303" spans="1:2" x14ac:dyDescent="0.35">
      <c r="A303" s="74">
        <v>42094</v>
      </c>
      <c r="B303">
        <v>3667.7366609999999</v>
      </c>
    </row>
    <row r="304" spans="1:2" x14ac:dyDescent="0.35">
      <c r="A304" s="74">
        <v>42124</v>
      </c>
      <c r="B304">
        <v>3439.9275309999998</v>
      </c>
    </row>
    <row r="305" spans="1:2" x14ac:dyDescent="0.35">
      <c r="A305" s="74">
        <v>42155</v>
      </c>
      <c r="B305">
        <v>4567.4590560000006</v>
      </c>
    </row>
    <row r="306" spans="1:2" x14ac:dyDescent="0.35">
      <c r="A306" s="74">
        <v>42185</v>
      </c>
      <c r="B306">
        <v>4739.1913859999995</v>
      </c>
    </row>
    <row r="307" spans="1:2" x14ac:dyDescent="0.35">
      <c r="A307" s="74">
        <v>42216</v>
      </c>
      <c r="B307">
        <v>4771.9663650000002</v>
      </c>
    </row>
    <row r="308" spans="1:2" x14ac:dyDescent="0.35">
      <c r="A308" s="74">
        <v>42247</v>
      </c>
      <c r="B308">
        <v>4201.4078630000004</v>
      </c>
    </row>
    <row r="309" spans="1:2" x14ac:dyDescent="0.35">
      <c r="A309" s="74">
        <v>42277</v>
      </c>
      <c r="B309">
        <v>3511.5641059999998</v>
      </c>
    </row>
    <row r="310" spans="1:2" x14ac:dyDescent="0.35">
      <c r="A310" s="74">
        <v>42308</v>
      </c>
      <c r="B310">
        <v>3308.3629830000004</v>
      </c>
    </row>
    <row r="311" spans="1:2" x14ac:dyDescent="0.35">
      <c r="A311" s="74">
        <v>42338</v>
      </c>
      <c r="B311">
        <v>3126.3197209999998</v>
      </c>
    </row>
    <row r="312" spans="1:2" x14ac:dyDescent="0.35">
      <c r="A312" s="74">
        <v>42369</v>
      </c>
      <c r="B312">
        <v>2495.9566260000001</v>
      </c>
    </row>
    <row r="313" spans="1:2" x14ac:dyDescent="0.35">
      <c r="A313" s="74">
        <v>42400</v>
      </c>
      <c r="B313">
        <v>3207.3593809999998</v>
      </c>
    </row>
    <row r="314" spans="1:2" x14ac:dyDescent="0.35">
      <c r="A314" s="74">
        <v>42429</v>
      </c>
      <c r="B314">
        <v>3341.6422339999999</v>
      </c>
    </row>
    <row r="315" spans="1:2" x14ac:dyDescent="0.35">
      <c r="A315" s="74">
        <v>42460</v>
      </c>
      <c r="B315">
        <v>2573.0683099999997</v>
      </c>
    </row>
    <row r="316" spans="1:2" x14ac:dyDescent="0.35">
      <c r="A316" s="74">
        <v>42490</v>
      </c>
      <c r="B316">
        <v>2485.0236910000003</v>
      </c>
    </row>
    <row r="317" spans="1:2" x14ac:dyDescent="0.35">
      <c r="A317" s="74">
        <v>42521</v>
      </c>
      <c r="B317">
        <v>2158.5515349999996</v>
      </c>
    </row>
    <row r="318" spans="1:2" x14ac:dyDescent="0.35">
      <c r="A318" s="74">
        <v>42551</v>
      </c>
      <c r="B318">
        <v>3433.759376</v>
      </c>
    </row>
    <row r="319" spans="1:2" x14ac:dyDescent="0.35">
      <c r="A319" s="74">
        <v>42582</v>
      </c>
      <c r="B319">
        <v>4295.8554720000011</v>
      </c>
    </row>
    <row r="320" spans="1:2" x14ac:dyDescent="0.35">
      <c r="A320" s="74">
        <v>42613</v>
      </c>
      <c r="B320">
        <v>4166.7200482000007</v>
      </c>
    </row>
    <row r="321" spans="1:2" x14ac:dyDescent="0.35">
      <c r="A321" s="74">
        <v>42643</v>
      </c>
      <c r="B321">
        <v>4472.9284119999993</v>
      </c>
    </row>
    <row r="322" spans="1:2" x14ac:dyDescent="0.35">
      <c r="A322" s="74">
        <v>42674</v>
      </c>
      <c r="B322">
        <v>4274.6257140000007</v>
      </c>
    </row>
    <row r="323" spans="1:2" x14ac:dyDescent="0.35">
      <c r="A323" s="74">
        <v>42704</v>
      </c>
      <c r="B323">
        <v>3907.3372180000001</v>
      </c>
    </row>
    <row r="324" spans="1:2" x14ac:dyDescent="0.35">
      <c r="A324" s="74">
        <v>42735</v>
      </c>
      <c r="B324">
        <v>4258.8499459999994</v>
      </c>
    </row>
    <row r="325" spans="1:2" x14ac:dyDescent="0.35">
      <c r="A325" s="74">
        <v>42766</v>
      </c>
      <c r="B325">
        <v>4889.0536040000006</v>
      </c>
    </row>
    <row r="326" spans="1:2" x14ac:dyDescent="0.35">
      <c r="A326" s="74">
        <v>42794</v>
      </c>
      <c r="B326">
        <v>4774.3641169999992</v>
      </c>
    </row>
    <row r="327" spans="1:2" x14ac:dyDescent="0.35">
      <c r="A327" s="74">
        <v>42825</v>
      </c>
      <c r="B327">
        <v>3809.618426</v>
      </c>
    </row>
    <row r="328" spans="1:2" x14ac:dyDescent="0.35">
      <c r="A328" s="74">
        <v>42855</v>
      </c>
      <c r="B328">
        <v>3236.1216010000003</v>
      </c>
    </row>
    <row r="329" spans="1:2" x14ac:dyDescent="0.35">
      <c r="A329" s="74">
        <v>42886</v>
      </c>
      <c r="B329">
        <v>2790.0411439999998</v>
      </c>
    </row>
    <row r="330" spans="1:2" x14ac:dyDescent="0.35">
      <c r="A330" s="74">
        <v>42916</v>
      </c>
      <c r="B330">
        <v>4467.1464100000003</v>
      </c>
    </row>
    <row r="331" spans="1:2" x14ac:dyDescent="0.35">
      <c r="A331" s="74">
        <v>42947</v>
      </c>
      <c r="B331">
        <v>4260.9122989999996</v>
      </c>
    </row>
    <row r="332" spans="1:2" x14ac:dyDescent="0.35">
      <c r="A332" s="74">
        <v>42978</v>
      </c>
      <c r="B332">
        <v>3650.480826</v>
      </c>
    </row>
    <row r="333" spans="1:2" x14ac:dyDescent="0.35">
      <c r="A333" s="74">
        <v>43008</v>
      </c>
      <c r="B333">
        <v>2362.3768380000001</v>
      </c>
    </row>
    <row r="334" spans="1:2" x14ac:dyDescent="0.35">
      <c r="A334" s="74">
        <v>43039</v>
      </c>
      <c r="B334">
        <v>4806.5891719999991</v>
      </c>
    </row>
    <row r="335" spans="1:2" x14ac:dyDescent="0.35">
      <c r="A335" s="74">
        <v>43069</v>
      </c>
      <c r="B335">
        <v>4018.4669810000005</v>
      </c>
    </row>
    <row r="336" spans="1:2" x14ac:dyDescent="0.35">
      <c r="A336" s="74">
        <v>43100</v>
      </c>
      <c r="B336">
        <v>2451.0657929999998</v>
      </c>
    </row>
    <row r="337" spans="1:2" x14ac:dyDescent="0.35">
      <c r="A337" s="74">
        <v>43131</v>
      </c>
      <c r="B337">
        <v>5706.5873609999999</v>
      </c>
    </row>
    <row r="338" spans="1:2" x14ac:dyDescent="0.35">
      <c r="A338" s="74">
        <v>43159</v>
      </c>
      <c r="B338">
        <v>5406.7848750000003</v>
      </c>
    </row>
    <row r="339" spans="1:2" x14ac:dyDescent="0.35">
      <c r="A339" s="74">
        <v>43190</v>
      </c>
      <c r="B339">
        <v>4868.0820779999995</v>
      </c>
    </row>
    <row r="340" spans="1:2" x14ac:dyDescent="0.35">
      <c r="A340" s="74">
        <v>43220</v>
      </c>
      <c r="B340">
        <v>4260.3534980000004</v>
      </c>
    </row>
    <row r="341" spans="1:2" x14ac:dyDescent="0.35">
      <c r="A341" s="74">
        <v>43251</v>
      </c>
      <c r="B341">
        <v>3752.0349040000006</v>
      </c>
    </row>
    <row r="342" spans="1:2" x14ac:dyDescent="0.35">
      <c r="A342" s="74">
        <v>43281</v>
      </c>
      <c r="B342">
        <v>3166.7383739999991</v>
      </c>
    </row>
    <row r="343" spans="1:2" x14ac:dyDescent="0.35">
      <c r="A343" s="74">
        <v>43312</v>
      </c>
      <c r="B343">
        <v>3128.4664690000009</v>
      </c>
    </row>
    <row r="344" spans="1:2" x14ac:dyDescent="0.35">
      <c r="A344" s="74">
        <v>43343</v>
      </c>
      <c r="B344">
        <v>3050.1975729999999</v>
      </c>
    </row>
    <row r="345" spans="1:2" x14ac:dyDescent="0.35">
      <c r="A345" s="74">
        <v>43373</v>
      </c>
      <c r="B345">
        <v>2693.0061670000005</v>
      </c>
    </row>
    <row r="346" spans="1:2" x14ac:dyDescent="0.35">
      <c r="A346" s="74">
        <v>43404</v>
      </c>
      <c r="B346">
        <v>2730.363601</v>
      </c>
    </row>
    <row r="347" spans="1:2" x14ac:dyDescent="0.35">
      <c r="A347" s="74">
        <v>43434</v>
      </c>
      <c r="B347">
        <v>2382.2390989999999</v>
      </c>
    </row>
    <row r="348" spans="1:2" x14ac:dyDescent="0.35">
      <c r="A348" s="74">
        <v>43465</v>
      </c>
      <c r="B348">
        <v>2676.5249719999997</v>
      </c>
    </row>
    <row r="349" spans="1:2" x14ac:dyDescent="0.35">
      <c r="A349" s="74">
        <v>43496</v>
      </c>
      <c r="B349">
        <v>3635.8521559999999</v>
      </c>
    </row>
    <row r="350" spans="1:2" x14ac:dyDescent="0.35">
      <c r="A350" s="74">
        <v>43524</v>
      </c>
      <c r="B350">
        <v>3281.8184289999999</v>
      </c>
    </row>
    <row r="351" spans="1:2" x14ac:dyDescent="0.35">
      <c r="A351" s="74">
        <v>43555</v>
      </c>
      <c r="B351">
        <v>3972.8416809999994</v>
      </c>
    </row>
    <row r="352" spans="1:2" x14ac:dyDescent="0.35">
      <c r="A352" s="74">
        <v>43585</v>
      </c>
      <c r="B352">
        <v>3488.324055</v>
      </c>
    </row>
    <row r="353" spans="1:2" x14ac:dyDescent="0.35">
      <c r="A353" s="74">
        <v>43616</v>
      </c>
      <c r="B353">
        <v>4083.6149720000003</v>
      </c>
    </row>
    <row r="354" spans="1:2" x14ac:dyDescent="0.35">
      <c r="A354" s="74">
        <v>43646</v>
      </c>
      <c r="B354">
        <v>4095.262397</v>
      </c>
    </row>
    <row r="355" spans="1:2" x14ac:dyDescent="0.35">
      <c r="A355" s="74">
        <v>43677</v>
      </c>
      <c r="B355">
        <v>3772.458498</v>
      </c>
    </row>
    <row r="356" spans="1:2" x14ac:dyDescent="0.35">
      <c r="A356" s="74">
        <v>43708</v>
      </c>
      <c r="B356">
        <v>3808.3865450000003</v>
      </c>
    </row>
    <row r="357" spans="1:2" x14ac:dyDescent="0.35">
      <c r="A357" s="74">
        <v>43738</v>
      </c>
      <c r="B357">
        <v>5130.3737029999993</v>
      </c>
    </row>
    <row r="358" spans="1:2" x14ac:dyDescent="0.35">
      <c r="A358" s="74">
        <v>43769</v>
      </c>
      <c r="B358">
        <v>4097.8494660000006</v>
      </c>
    </row>
    <row r="359" spans="1:2" x14ac:dyDescent="0.35">
      <c r="A359" s="74">
        <v>43799</v>
      </c>
      <c r="B359">
        <v>3178.7085219999999</v>
      </c>
    </row>
    <row r="360" spans="1:2" x14ac:dyDescent="0.35">
      <c r="A360" s="74">
        <v>43830</v>
      </c>
      <c r="B360">
        <v>3397.1085990000001</v>
      </c>
    </row>
    <row r="361" spans="1:2" x14ac:dyDescent="0.35">
      <c r="A361" s="74">
        <v>43861</v>
      </c>
      <c r="B361">
        <v>3568.0297510000005</v>
      </c>
    </row>
    <row r="362" spans="1:2" x14ac:dyDescent="0.35">
      <c r="A362" s="74">
        <v>43890</v>
      </c>
      <c r="B362">
        <v>3280.3993610000002</v>
      </c>
    </row>
    <row r="363" spans="1:2" x14ac:dyDescent="0.35">
      <c r="A363" s="74">
        <v>43921</v>
      </c>
      <c r="B363">
        <v>1990.1684579999999</v>
      </c>
    </row>
    <row r="364" spans="1:2" x14ac:dyDescent="0.35">
      <c r="A364" s="74">
        <v>43951</v>
      </c>
      <c r="B364">
        <v>2860.4742350000001</v>
      </c>
    </row>
    <row r="365" spans="1:2" x14ac:dyDescent="0.35">
      <c r="A365" s="74">
        <v>43982</v>
      </c>
      <c r="B365">
        <v>3402.0322910000004</v>
      </c>
    </row>
    <row r="366" spans="1:2" x14ac:dyDescent="0.35">
      <c r="A366" s="74">
        <v>44012</v>
      </c>
      <c r="B366">
        <v>2665.6085410000001</v>
      </c>
    </row>
    <row r="367" spans="1:2" x14ac:dyDescent="0.35">
      <c r="A367" s="74">
        <v>44043</v>
      </c>
      <c r="B367">
        <v>3039.9523460000005</v>
      </c>
    </row>
    <row r="368" spans="1:2" x14ac:dyDescent="0.35">
      <c r="A368" s="74">
        <v>44074</v>
      </c>
      <c r="B368">
        <v>3257.8133919999996</v>
      </c>
    </row>
    <row r="369" spans="1:2" x14ac:dyDescent="0.35">
      <c r="A369" s="74">
        <v>44104</v>
      </c>
      <c r="B369">
        <v>3442.9823409999999</v>
      </c>
    </row>
    <row r="370" spans="1:2" x14ac:dyDescent="0.35">
      <c r="A370" s="74">
        <v>44135</v>
      </c>
      <c r="B370">
        <v>5517.6193910000002</v>
      </c>
    </row>
    <row r="371" spans="1:2" x14ac:dyDescent="0.35">
      <c r="A371" s="74">
        <v>44165</v>
      </c>
      <c r="B371">
        <v>5066.6150699999998</v>
      </c>
    </row>
    <row r="372" spans="1:2" x14ac:dyDescent="0.35">
      <c r="A372" s="74">
        <v>44196</v>
      </c>
      <c r="B372">
        <v>7195.6544210000011</v>
      </c>
    </row>
    <row r="373" spans="1:2" x14ac:dyDescent="0.35">
      <c r="A373" s="74">
        <v>44227</v>
      </c>
      <c r="B373">
        <v>6590.8615399999999</v>
      </c>
    </row>
    <row r="374" spans="1:2" x14ac:dyDescent="0.35">
      <c r="A374" s="74">
        <v>44255</v>
      </c>
      <c r="B374">
        <v>5790.9268709999988</v>
      </c>
    </row>
    <row r="375" spans="1:2" x14ac:dyDescent="0.35">
      <c r="A375" s="74">
        <v>44286</v>
      </c>
      <c r="B375">
        <v>5779.1740680000003</v>
      </c>
    </row>
    <row r="376" spans="1:2" x14ac:dyDescent="0.35">
      <c r="A376" s="74">
        <v>44316</v>
      </c>
      <c r="B376">
        <v>5788.4938629999997</v>
      </c>
    </row>
    <row r="377" spans="1:2" x14ac:dyDescent="0.35">
      <c r="A377" s="74">
        <v>44347</v>
      </c>
      <c r="B377">
        <v>5923.2699600000005</v>
      </c>
    </row>
    <row r="378" spans="1:2" x14ac:dyDescent="0.35">
      <c r="A378" s="74">
        <v>44377</v>
      </c>
      <c r="B378">
        <v>6048.8075359999993</v>
      </c>
    </row>
    <row r="379" spans="1:2" x14ac:dyDescent="0.35">
      <c r="A379" s="74">
        <v>44408</v>
      </c>
      <c r="B379">
        <v>5405.2939980000001</v>
      </c>
    </row>
    <row r="380" spans="1:2" x14ac:dyDescent="0.35">
      <c r="A380" s="74">
        <v>44439</v>
      </c>
      <c r="B380">
        <v>5872.3521449999998</v>
      </c>
    </row>
    <row r="381" spans="1:2" x14ac:dyDescent="0.35">
      <c r="A381" s="74">
        <v>44469</v>
      </c>
      <c r="B381">
        <v>6294.5271580000008</v>
      </c>
    </row>
    <row r="382" spans="1:2" x14ac:dyDescent="0.35">
      <c r="A382" s="74">
        <v>44500</v>
      </c>
      <c r="B382">
        <v>7549.6139359999997</v>
      </c>
    </row>
    <row r="383" spans="1:2" x14ac:dyDescent="0.35">
      <c r="A383" s="74">
        <v>44530</v>
      </c>
      <c r="B383">
        <v>7564.965604</v>
      </c>
    </row>
    <row r="384" spans="1:2" x14ac:dyDescent="0.35">
      <c r="A384" s="74">
        <v>44561</v>
      </c>
      <c r="B384">
        <v>7897.8703079999996</v>
      </c>
    </row>
    <row r="385" spans="1:2" x14ac:dyDescent="0.35">
      <c r="A385" s="74">
        <v>44592</v>
      </c>
      <c r="B385">
        <v>7987.2111580000001</v>
      </c>
    </row>
    <row r="386" spans="1:2" x14ac:dyDescent="0.35">
      <c r="A386" s="74">
        <v>44620</v>
      </c>
      <c r="B386">
        <v>8047.3292589999983</v>
      </c>
    </row>
    <row r="387" spans="1:2" x14ac:dyDescent="0.35">
      <c r="A387" s="74">
        <v>44651</v>
      </c>
      <c r="B387">
        <v>9226.3236479999996</v>
      </c>
    </row>
    <row r="388" spans="1:2" x14ac:dyDescent="0.35">
      <c r="A388" s="74">
        <v>44681</v>
      </c>
      <c r="B388">
        <v>8467.584945999999</v>
      </c>
    </row>
    <row r="389" spans="1:2" x14ac:dyDescent="0.35">
      <c r="A389" s="74">
        <v>44712</v>
      </c>
      <c r="B389">
        <v>8184.0332160000007</v>
      </c>
    </row>
    <row r="390" spans="1:2" x14ac:dyDescent="0.35">
      <c r="A390" s="74">
        <v>44742</v>
      </c>
      <c r="B390">
        <v>8584.6099650000015</v>
      </c>
    </row>
    <row r="391" spans="1:2" x14ac:dyDescent="0.35">
      <c r="A391" s="74">
        <v>44773</v>
      </c>
      <c r="B391">
        <v>9016.414800999999</v>
      </c>
    </row>
    <row r="392" spans="1:2" x14ac:dyDescent="0.35">
      <c r="A392" s="74">
        <v>44804</v>
      </c>
      <c r="B392">
        <v>9010.0862429999997</v>
      </c>
    </row>
    <row r="393" spans="1:2" x14ac:dyDescent="0.35">
      <c r="A393" s="74">
        <v>44834</v>
      </c>
      <c r="B393">
        <v>8381.2583639999993</v>
      </c>
    </row>
    <row r="394" spans="1:2" x14ac:dyDescent="0.35">
      <c r="A394" s="74">
        <v>44865</v>
      </c>
      <c r="B394">
        <v>7739.1962319999993</v>
      </c>
    </row>
    <row r="395" spans="1:2" x14ac:dyDescent="0.35">
      <c r="A395" s="74">
        <v>44895</v>
      </c>
      <c r="B395">
        <v>7532.3977593499994</v>
      </c>
    </row>
    <row r="396" spans="1:2" x14ac:dyDescent="0.35">
      <c r="A396" s="74">
        <v>44926</v>
      </c>
      <c r="B396">
        <v>8458.6522106400007</v>
      </c>
    </row>
    <row r="397" spans="1:2" x14ac:dyDescent="0.35">
      <c r="A397" s="74">
        <v>44957</v>
      </c>
      <c r="B397">
        <v>8360.6432647600013</v>
      </c>
    </row>
    <row r="398" spans="1:2" x14ac:dyDescent="0.35">
      <c r="A398" s="74">
        <v>44985</v>
      </c>
      <c r="B398">
        <v>7887.4808218700009</v>
      </c>
    </row>
    <row r="399" spans="1:2" x14ac:dyDescent="0.35">
      <c r="A399" s="74">
        <v>45016</v>
      </c>
      <c r="B399">
        <v>8189.6942608199997</v>
      </c>
    </row>
    <row r="400" spans="1:2" x14ac:dyDescent="0.35">
      <c r="A400" s="74">
        <v>45046</v>
      </c>
      <c r="B400">
        <v>8054.8887683000003</v>
      </c>
    </row>
    <row r="401" spans="1:2" x14ac:dyDescent="0.35">
      <c r="A401" s="74">
        <v>45077</v>
      </c>
      <c r="B401">
        <v>7530.4729147200005</v>
      </c>
    </row>
    <row r="402" spans="1:2" x14ac:dyDescent="0.35">
      <c r="A402" s="74">
        <v>45107</v>
      </c>
      <c r="B402">
        <v>6966.5289307699895</v>
      </c>
    </row>
    <row r="403" spans="1:2" x14ac:dyDescent="0.35">
      <c r="A403" s="74">
        <v>45138</v>
      </c>
      <c r="B403">
        <v>6961.2306345300021</v>
      </c>
    </row>
    <row r="404" spans="1:2" x14ac:dyDescent="0.35">
      <c r="A404" s="74">
        <v>45169</v>
      </c>
      <c r="B404">
        <v>6358.5885597799988</v>
      </c>
    </row>
    <row r="405" spans="1:2" x14ac:dyDescent="0.35">
      <c r="A405" s="74">
        <v>45199</v>
      </c>
      <c r="B405">
        <v>6312.1970598000007</v>
      </c>
    </row>
    <row r="406" spans="1:2" x14ac:dyDescent="0.35">
      <c r="A406" s="74">
        <v>45230</v>
      </c>
      <c r="B406">
        <v>6007.586921430001</v>
      </c>
    </row>
    <row r="407" spans="1:2" x14ac:dyDescent="0.35">
      <c r="A407" s="74">
        <v>45260</v>
      </c>
      <c r="B407">
        <v>5658.1125457999997</v>
      </c>
    </row>
    <row r="408" spans="1:2" x14ac:dyDescent="0.35">
      <c r="A408" s="74">
        <v>45291</v>
      </c>
      <c r="B408">
        <v>4454.3565775399893</v>
      </c>
    </row>
    <row r="409" spans="1:2" x14ac:dyDescent="0.35">
      <c r="A409" s="74">
        <v>45322</v>
      </c>
      <c r="B409">
        <v>4488.7503600699893</v>
      </c>
    </row>
    <row r="410" spans="1:2" x14ac:dyDescent="0.35">
      <c r="A410" s="74">
        <v>45351</v>
      </c>
      <c r="B410">
        <v>5086.4023579599998</v>
      </c>
    </row>
    <row r="411" spans="1:2" x14ac:dyDescent="0.35">
      <c r="A411" s="74">
        <v>45382</v>
      </c>
      <c r="B411">
        <v>5299.9049887900001</v>
      </c>
    </row>
    <row r="412" spans="1:2" x14ac:dyDescent="0.35">
      <c r="A412" s="74">
        <v>45412</v>
      </c>
      <c r="B412">
        <v>5993.6795412399997</v>
      </c>
    </row>
    <row r="413" spans="1:2" x14ac:dyDescent="0.35">
      <c r="A413" s="74">
        <v>45443</v>
      </c>
      <c r="B413">
        <v>6740.0515039399997</v>
      </c>
    </row>
    <row r="414" spans="1:2" x14ac:dyDescent="0.35">
      <c r="A414" s="74">
        <v>45473</v>
      </c>
      <c r="B414">
        <v>7090.0493077900001</v>
      </c>
    </row>
    <row r="415" spans="1:2" x14ac:dyDescent="0.35">
      <c r="A415" s="74">
        <v>45504</v>
      </c>
      <c r="B415">
        <v>7232.9894655900007</v>
      </c>
    </row>
    <row r="416" spans="1:2" x14ac:dyDescent="0.35">
      <c r="A416" s="74">
        <v>45535</v>
      </c>
      <c r="B416">
        <v>8410.0654732699986</v>
      </c>
    </row>
    <row r="417" spans="1:2" x14ac:dyDescent="0.35">
      <c r="A417" s="74">
        <v>45565</v>
      </c>
      <c r="B417">
        <v>8577.5479177099987</v>
      </c>
    </row>
    <row r="418" spans="1:2" x14ac:dyDescent="0.35">
      <c r="A418" s="74">
        <v>45596</v>
      </c>
      <c r="B418">
        <v>8645.346739139999</v>
      </c>
    </row>
    <row r="419" spans="1:2" x14ac:dyDescent="0.35">
      <c r="A419" s="74">
        <v>45626</v>
      </c>
      <c r="B419">
        <v>7655.1158450000012</v>
      </c>
    </row>
    <row r="420" spans="1:2" x14ac:dyDescent="0.35">
      <c r="A420" s="74">
        <v>45657</v>
      </c>
      <c r="B420">
        <v>6899.502195009999</v>
      </c>
    </row>
    <row r="421" spans="1:2" x14ac:dyDescent="0.35">
      <c r="A421" s="74">
        <v>45688</v>
      </c>
      <c r="B421">
        <v>7423.1930680699998</v>
      </c>
    </row>
    <row r="422" spans="1:2" x14ac:dyDescent="0.35">
      <c r="A422" s="74">
        <v>45716</v>
      </c>
      <c r="B422">
        <v>7713.0745352799795</v>
      </c>
    </row>
    <row r="423" spans="1:2" x14ac:dyDescent="0.35">
      <c r="A423" s="74">
        <v>45747</v>
      </c>
      <c r="B423">
        <v>7729.0342405300007</v>
      </c>
    </row>
    <row r="424" spans="1:2" x14ac:dyDescent="0.35">
      <c r="A424" s="74">
        <v>45777</v>
      </c>
      <c r="B424">
        <v>7772.9836025300001</v>
      </c>
    </row>
    <row r="425" spans="1:2" x14ac:dyDescent="0.35">
      <c r="A425" s="74">
        <v>45808</v>
      </c>
      <c r="B425">
        <v>8276.5051031999992</v>
      </c>
    </row>
    <row r="426" spans="1:2" x14ac:dyDescent="0.35">
      <c r="A426" s="74">
        <v>45838</v>
      </c>
      <c r="B426">
        <v>8409.092840379999</v>
      </c>
    </row>
    <row r="427" spans="1:2" x14ac:dyDescent="0.35">
      <c r="A427" s="74">
        <v>45869</v>
      </c>
      <c r="B427">
        <v>8559.3759279599999</v>
      </c>
    </row>
    <row r="428" spans="1:2" x14ac:dyDescent="0.35">
      <c r="A428" s="74">
        <v>45900</v>
      </c>
      <c r="B428">
        <v>8168.6116389300005</v>
      </c>
    </row>
    <row r="429" spans="1:2" x14ac:dyDescent="0.35">
      <c r="A429" s="74">
        <v>45930</v>
      </c>
      <c r="B429">
        <v>8322.3921232699995</v>
      </c>
    </row>
    <row r="430" spans="1:2" x14ac:dyDescent="0.35">
      <c r="A430" s="74">
        <v>45933</v>
      </c>
      <c r="B430">
        <v>8269.3516390000004</v>
      </c>
    </row>
    <row r="431" spans="1:2" x14ac:dyDescent="0.35">
      <c r="A431" s="74">
        <v>45938</v>
      </c>
      <c r="B431">
        <v>8566.0407697699993</v>
      </c>
    </row>
    <row r="432" spans="1:2" x14ac:dyDescent="0.35">
      <c r="A432" s="74">
        <v>45947</v>
      </c>
      <c r="B432">
        <v>9445.3658460700008</v>
      </c>
    </row>
    <row r="433" spans="1:2" x14ac:dyDescent="0.35">
      <c r="A433" s="74">
        <v>45954</v>
      </c>
      <c r="B433">
        <v>9288.5010179799992</v>
      </c>
    </row>
    <row r="434" spans="1:2" x14ac:dyDescent="0.35">
      <c r="A434" s="74">
        <v>45961</v>
      </c>
      <c r="B434">
        <v>9324.7607271900015</v>
      </c>
    </row>
    <row r="435" spans="1:2" x14ac:dyDescent="0.35">
      <c r="A435" s="74">
        <v>45991</v>
      </c>
      <c r="B435">
        <v>9684.8687032099988</v>
      </c>
    </row>
    <row r="436" spans="1:2" x14ac:dyDescent="0.35">
      <c r="A436" s="74">
        <v>46022</v>
      </c>
      <c r="B436">
        <v>9795.1398849699999</v>
      </c>
    </row>
    <row r="437" spans="1:2" x14ac:dyDescent="0.35">
      <c r="A437" s="74">
        <v>46031</v>
      </c>
      <c r="B437">
        <v>10446.262012490002</v>
      </c>
    </row>
    <row r="438" spans="1:2" x14ac:dyDescent="0.35">
      <c r="A438" s="74">
        <v>46038</v>
      </c>
      <c r="B438">
        <v>11421.58417222</v>
      </c>
    </row>
    <row r="439" spans="1:2" x14ac:dyDescent="0.35">
      <c r="A439" s="74">
        <v>46045</v>
      </c>
      <c r="B439">
        <v>11508.171614969991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3:F118"/>
  <sheetViews>
    <sheetView showGridLines="0" topLeftCell="A111" zoomScale="70" zoomScaleNormal="70" workbookViewId="0">
      <selection activeCell="D118" sqref="D118"/>
    </sheetView>
  </sheetViews>
  <sheetFormatPr baseColWidth="10" defaultRowHeight="15.5" x14ac:dyDescent="0.35"/>
  <cols>
    <col min="1" max="1" width="7.84375" customWidth="1"/>
    <col min="2" max="2" width="18.53515625" style="1" customWidth="1"/>
    <col min="3" max="3" width="19.4609375" style="2" customWidth="1"/>
    <col min="4" max="4" width="153.3828125" style="13" customWidth="1"/>
  </cols>
  <sheetData>
    <row r="3" spans="2:4" x14ac:dyDescent="0.35">
      <c r="B3" s="68" t="s">
        <v>0</v>
      </c>
      <c r="C3" s="69"/>
      <c r="D3" s="70"/>
    </row>
    <row r="4" spans="2:4" x14ac:dyDescent="0.35">
      <c r="B4" s="71" t="s">
        <v>1</v>
      </c>
      <c r="C4" s="72"/>
      <c r="D4" s="73"/>
    </row>
    <row r="5" spans="2:4" x14ac:dyDescent="0.35">
      <c r="B5" s="3"/>
      <c r="C5" s="4"/>
      <c r="D5" s="8"/>
    </row>
    <row r="6" spans="2:4" x14ac:dyDescent="0.35">
      <c r="B6" s="3" t="s">
        <v>63</v>
      </c>
      <c r="C6" s="4" t="s">
        <v>64</v>
      </c>
      <c r="D6" s="8" t="s">
        <v>65</v>
      </c>
    </row>
    <row r="7" spans="2:4" ht="408.9" customHeight="1" x14ac:dyDescent="0.35">
      <c r="B7" s="6">
        <v>39083</v>
      </c>
      <c r="C7" s="7">
        <v>2124.0637609999999</v>
      </c>
      <c r="D7" s="9" t="s">
        <v>41</v>
      </c>
    </row>
    <row r="8" spans="2:4" ht="408.9" customHeight="1" x14ac:dyDescent="0.35">
      <c r="B8" s="6">
        <v>39114</v>
      </c>
      <c r="C8" s="7">
        <v>2468.705563</v>
      </c>
      <c r="D8" s="10" t="s">
        <v>42</v>
      </c>
    </row>
    <row r="9" spans="2:4" ht="408.9" customHeight="1" x14ac:dyDescent="0.35">
      <c r="B9" s="6">
        <v>39142</v>
      </c>
      <c r="C9" s="7">
        <v>2182.37</v>
      </c>
      <c r="D9" s="10" t="s">
        <v>43</v>
      </c>
    </row>
    <row r="10" spans="2:4" ht="408.9" customHeight="1" x14ac:dyDescent="0.35">
      <c r="B10" s="6">
        <v>39173</v>
      </c>
      <c r="C10" s="7">
        <v>2801.2206429999997</v>
      </c>
      <c r="D10" s="11" t="s">
        <v>44</v>
      </c>
    </row>
    <row r="11" spans="2:4" ht="408.9" customHeight="1" x14ac:dyDescent="0.35">
      <c r="B11" s="6">
        <v>39203</v>
      </c>
      <c r="C11" s="7">
        <v>3076.3328690000003</v>
      </c>
      <c r="D11" s="10" t="s">
        <v>45</v>
      </c>
    </row>
    <row r="12" spans="2:4" ht="408.9" customHeight="1" x14ac:dyDescent="0.35">
      <c r="B12" s="6">
        <v>39234</v>
      </c>
      <c r="C12" s="7">
        <v>3204.4</v>
      </c>
      <c r="D12" s="10" t="s">
        <v>46</v>
      </c>
    </row>
    <row r="13" spans="2:4" ht="408.9" customHeight="1" x14ac:dyDescent="0.35">
      <c r="B13" s="6">
        <v>39264</v>
      </c>
      <c r="C13" s="7">
        <v>3440.7712019999999</v>
      </c>
      <c r="D13" s="10" t="s">
        <v>47</v>
      </c>
    </row>
    <row r="14" spans="2:4" ht="408.9" customHeight="1" x14ac:dyDescent="0.35">
      <c r="B14" s="6">
        <v>39295</v>
      </c>
      <c r="C14" s="7">
        <v>3510.1389589999999</v>
      </c>
      <c r="D14" s="10" t="s">
        <v>48</v>
      </c>
    </row>
    <row r="15" spans="2:4" ht="408.9" customHeight="1" x14ac:dyDescent="0.35">
      <c r="B15" s="6">
        <v>39326</v>
      </c>
      <c r="C15" s="7">
        <v>3611.1238210000001</v>
      </c>
      <c r="D15" s="10" t="s">
        <v>49</v>
      </c>
    </row>
    <row r="16" spans="2:4" ht="408.9" customHeight="1" x14ac:dyDescent="0.35">
      <c r="B16" s="6">
        <v>39356</v>
      </c>
      <c r="C16" s="7">
        <v>3690.8547509999999</v>
      </c>
      <c r="D16" s="10" t="s">
        <v>50</v>
      </c>
    </row>
    <row r="17" spans="2:4" ht="408.9" customHeight="1" x14ac:dyDescent="0.35">
      <c r="B17" s="6">
        <v>39387</v>
      </c>
      <c r="C17" s="7">
        <v>3617.7914169999995</v>
      </c>
      <c r="D17" s="10" t="s">
        <v>40</v>
      </c>
    </row>
    <row r="18" spans="2:4" ht="408.9" customHeight="1" x14ac:dyDescent="0.35">
      <c r="B18" s="6">
        <v>39417</v>
      </c>
      <c r="C18" s="7">
        <v>3520.8398139999995</v>
      </c>
      <c r="D18" s="10" t="s">
        <v>39</v>
      </c>
    </row>
    <row r="19" spans="2:4" ht="408.9" customHeight="1" x14ac:dyDescent="0.35">
      <c r="B19" s="6">
        <v>39448</v>
      </c>
      <c r="C19" s="7">
        <v>3511.0512559999997</v>
      </c>
      <c r="D19" s="10" t="s">
        <v>38</v>
      </c>
    </row>
    <row r="20" spans="2:4" ht="408.9" customHeight="1" x14ac:dyDescent="0.35">
      <c r="B20" s="6">
        <v>39479</v>
      </c>
      <c r="C20" s="7">
        <v>3989.4212299999999</v>
      </c>
      <c r="D20" s="10" t="s">
        <v>37</v>
      </c>
    </row>
    <row r="21" spans="2:4" ht="408.9" customHeight="1" x14ac:dyDescent="0.35">
      <c r="B21" s="6">
        <v>39508</v>
      </c>
      <c r="C21" s="7">
        <v>4143.5527659999889</v>
      </c>
      <c r="D21" s="10" t="s">
        <v>36</v>
      </c>
    </row>
    <row r="22" spans="2:4" ht="408.9" customHeight="1" x14ac:dyDescent="0.35">
      <c r="B22" s="6">
        <v>39539</v>
      </c>
      <c r="C22" s="7">
        <v>5599.1133959999997</v>
      </c>
      <c r="D22" s="10" t="s">
        <v>35</v>
      </c>
    </row>
    <row r="23" spans="2:4" ht="408.9" customHeight="1" x14ac:dyDescent="0.35">
      <c r="B23" s="6">
        <v>39569</v>
      </c>
      <c r="C23" s="7">
        <v>5874.7228610000002</v>
      </c>
      <c r="D23" s="10" t="s">
        <v>34</v>
      </c>
    </row>
    <row r="24" spans="2:4" ht="408.9" customHeight="1" x14ac:dyDescent="0.35">
      <c r="B24" s="6">
        <v>39600</v>
      </c>
      <c r="C24" s="7">
        <v>6103.1229109999995</v>
      </c>
      <c r="D24" s="10" t="s">
        <v>33</v>
      </c>
    </row>
    <row r="25" spans="2:4" ht="408.9" customHeight="1" x14ac:dyDescent="0.35">
      <c r="B25" s="6">
        <v>39630</v>
      </c>
      <c r="C25" s="7">
        <v>6161.4124189999993</v>
      </c>
      <c r="D25" s="10" t="s">
        <v>32</v>
      </c>
    </row>
    <row r="26" spans="2:4" ht="408.9" customHeight="1" x14ac:dyDescent="0.35">
      <c r="B26" s="6">
        <v>39691</v>
      </c>
      <c r="C26" s="7">
        <v>6372.3133219999991</v>
      </c>
      <c r="D26" s="10" t="s">
        <v>31</v>
      </c>
    </row>
    <row r="27" spans="2:4" ht="408.9" customHeight="1" x14ac:dyDescent="0.35">
      <c r="B27" s="6">
        <v>39721</v>
      </c>
      <c r="C27" s="7">
        <v>6476.5818099999997</v>
      </c>
      <c r="D27" s="10" t="s">
        <v>30</v>
      </c>
    </row>
    <row r="28" spans="2:4" ht="408.9" customHeight="1" x14ac:dyDescent="0.35">
      <c r="B28" s="6">
        <v>39752</v>
      </c>
      <c r="C28" s="7">
        <v>6273.5616729999992</v>
      </c>
      <c r="D28" s="10" t="s">
        <v>29</v>
      </c>
    </row>
    <row r="29" spans="2:4" ht="408.9" customHeight="1" x14ac:dyDescent="0.35">
      <c r="B29" s="6">
        <v>39782</v>
      </c>
      <c r="C29" s="7">
        <v>6011.4973030000001</v>
      </c>
      <c r="D29" s="10" t="s">
        <v>28</v>
      </c>
    </row>
    <row r="30" spans="2:4" ht="408.9" customHeight="1" x14ac:dyDescent="0.35">
      <c r="B30" s="6">
        <v>39813</v>
      </c>
      <c r="C30" s="7">
        <v>4473.0690239999994</v>
      </c>
      <c r="D30" s="10" t="s">
        <v>27</v>
      </c>
    </row>
    <row r="31" spans="2:4" ht="408.9" customHeight="1" x14ac:dyDescent="0.35">
      <c r="B31" s="6">
        <v>39844</v>
      </c>
      <c r="C31" s="7">
        <v>4271.6177530000004</v>
      </c>
      <c r="D31" s="10" t="s">
        <v>26</v>
      </c>
    </row>
    <row r="32" spans="2:4" ht="408.9" customHeight="1" x14ac:dyDescent="0.35">
      <c r="B32" s="6">
        <v>39872</v>
      </c>
      <c r="C32" s="7">
        <v>3996.5062069999999</v>
      </c>
      <c r="D32" s="10" t="s">
        <v>25</v>
      </c>
    </row>
    <row r="33" spans="2:4" ht="408.9" customHeight="1" x14ac:dyDescent="0.35">
      <c r="B33" s="6">
        <v>39903</v>
      </c>
      <c r="C33" s="7">
        <v>3244.0725940000002</v>
      </c>
      <c r="D33" s="10" t="s">
        <v>24</v>
      </c>
    </row>
    <row r="34" spans="2:4" ht="408.9" customHeight="1" x14ac:dyDescent="0.35">
      <c r="B34" s="6">
        <v>39933</v>
      </c>
      <c r="C34" s="7">
        <v>3142.264651</v>
      </c>
      <c r="D34" s="10" t="s">
        <v>23</v>
      </c>
    </row>
    <row r="35" spans="2:4" ht="408.9" customHeight="1" x14ac:dyDescent="0.35">
      <c r="B35" s="6">
        <v>39964</v>
      </c>
      <c r="C35" s="7">
        <v>2594.3993459999997</v>
      </c>
      <c r="D35" s="10" t="s">
        <v>22</v>
      </c>
    </row>
    <row r="36" spans="2:4" ht="408.9" customHeight="1" x14ac:dyDescent="0.35">
      <c r="B36" s="6">
        <v>39994</v>
      </c>
      <c r="C36" s="7">
        <v>2675.0155360000003</v>
      </c>
      <c r="D36" s="10" t="s">
        <v>21</v>
      </c>
    </row>
    <row r="37" spans="2:4" ht="408.9" customHeight="1" x14ac:dyDescent="0.35">
      <c r="B37" s="6">
        <v>40025</v>
      </c>
      <c r="C37" s="7">
        <v>3151.7757340000003</v>
      </c>
      <c r="D37" s="10" t="s">
        <v>20</v>
      </c>
    </row>
    <row r="38" spans="2:4" ht="408.9" customHeight="1" x14ac:dyDescent="0.35">
      <c r="B38" s="6">
        <v>40056</v>
      </c>
      <c r="C38" s="7">
        <v>3921.5956430000001</v>
      </c>
      <c r="D38" s="10" t="s">
        <v>19</v>
      </c>
    </row>
    <row r="39" spans="2:4" ht="408.9" customHeight="1" x14ac:dyDescent="0.35">
      <c r="B39" s="6">
        <v>40086</v>
      </c>
      <c r="C39" s="7">
        <v>4624.7092720000001</v>
      </c>
      <c r="D39" s="10" t="s">
        <v>18</v>
      </c>
    </row>
    <row r="40" spans="2:4" ht="408.9" customHeight="1" x14ac:dyDescent="0.35">
      <c r="B40" s="6">
        <v>40117</v>
      </c>
      <c r="C40" s="7">
        <v>4604.7854560000005</v>
      </c>
      <c r="D40" s="10" t="s">
        <v>17</v>
      </c>
    </row>
    <row r="41" spans="2:4" ht="408.9" customHeight="1" x14ac:dyDescent="0.35">
      <c r="B41" s="6">
        <v>40147</v>
      </c>
      <c r="C41" s="7">
        <v>5236.6674000000003</v>
      </c>
      <c r="D41" s="10" t="s">
        <v>16</v>
      </c>
    </row>
    <row r="42" spans="2:4" ht="408.9" customHeight="1" x14ac:dyDescent="0.35">
      <c r="B42" s="6">
        <v>40178</v>
      </c>
      <c r="C42" s="7">
        <v>3792.0509440000001</v>
      </c>
      <c r="D42" s="10" t="s">
        <v>15</v>
      </c>
    </row>
    <row r="43" spans="2:4" ht="408.9" customHeight="1" x14ac:dyDescent="0.35">
      <c r="B43" s="6">
        <v>40209</v>
      </c>
      <c r="C43" s="7">
        <v>3918.2043509999999</v>
      </c>
      <c r="D43" s="12" t="s">
        <v>14</v>
      </c>
    </row>
    <row r="44" spans="2:4" ht="408.9" customHeight="1" x14ac:dyDescent="0.35">
      <c r="B44" s="6">
        <v>40237</v>
      </c>
      <c r="C44" s="7">
        <v>3602.9901529999993</v>
      </c>
      <c r="D44" s="10" t="s">
        <v>13</v>
      </c>
    </row>
    <row r="45" spans="2:4" ht="408.9" customHeight="1" x14ac:dyDescent="0.35">
      <c r="B45" s="6">
        <v>40268</v>
      </c>
      <c r="C45" s="7">
        <v>4007.1</v>
      </c>
      <c r="D45" s="10" t="s">
        <v>12</v>
      </c>
    </row>
    <row r="46" spans="2:4" ht="408.9" customHeight="1" x14ac:dyDescent="0.35">
      <c r="B46" s="6">
        <v>40298</v>
      </c>
      <c r="C46" s="7">
        <v>4321.9859769999994</v>
      </c>
      <c r="D46" s="12" t="s">
        <v>11</v>
      </c>
    </row>
    <row r="47" spans="2:4" ht="408.9" customHeight="1" x14ac:dyDescent="0.35">
      <c r="B47" s="6">
        <v>40329</v>
      </c>
      <c r="C47" s="7">
        <v>4575.3279059999995</v>
      </c>
      <c r="D47" s="12" t="s">
        <v>10</v>
      </c>
    </row>
    <row r="48" spans="2:4" ht="408.9" customHeight="1" x14ac:dyDescent="0.35">
      <c r="B48" s="6">
        <v>40359</v>
      </c>
      <c r="C48" s="7">
        <v>4103.5394740000002</v>
      </c>
      <c r="D48" s="10" t="s">
        <v>9</v>
      </c>
    </row>
    <row r="49" spans="2:5" ht="408.9" customHeight="1" x14ac:dyDescent="0.35">
      <c r="B49" s="6">
        <v>40390</v>
      </c>
      <c r="C49" s="7">
        <v>3857.6042550000002</v>
      </c>
      <c r="D49" s="10" t="s">
        <v>8</v>
      </c>
    </row>
    <row r="50" spans="2:5" ht="408.9" customHeight="1" x14ac:dyDescent="0.35">
      <c r="B50" s="6">
        <v>40421</v>
      </c>
      <c r="C50" s="7">
        <v>3490.4040810000001</v>
      </c>
      <c r="D50" s="12" t="s">
        <v>7</v>
      </c>
    </row>
    <row r="51" spans="2:5" ht="408.9" customHeight="1" x14ac:dyDescent="0.35">
      <c r="B51" s="6">
        <v>40451</v>
      </c>
      <c r="C51" s="7">
        <v>4353.3703539999997</v>
      </c>
      <c r="D51" s="10" t="s">
        <v>6</v>
      </c>
    </row>
    <row r="52" spans="2:5" ht="408.9" customHeight="1" x14ac:dyDescent="0.35">
      <c r="B52" s="6">
        <v>40482</v>
      </c>
      <c r="C52" s="7">
        <v>3668.8799779999995</v>
      </c>
      <c r="D52" s="10" t="s">
        <v>5</v>
      </c>
    </row>
    <row r="53" spans="2:5" ht="408.9" customHeight="1" x14ac:dyDescent="0.35">
      <c r="B53" s="6">
        <v>40512</v>
      </c>
      <c r="C53" s="7">
        <v>3451.1235320000005</v>
      </c>
      <c r="D53" s="10" t="s">
        <v>4</v>
      </c>
    </row>
    <row r="54" spans="2:5" ht="408.9" customHeight="1" x14ac:dyDescent="0.35">
      <c r="B54" s="6">
        <v>40543</v>
      </c>
      <c r="C54" s="7">
        <v>2622.0537079999999</v>
      </c>
      <c r="D54" s="10" t="s">
        <v>3</v>
      </c>
    </row>
    <row r="55" spans="2:5" ht="408.9" customHeight="1" x14ac:dyDescent="0.35">
      <c r="B55" s="6">
        <v>40574</v>
      </c>
      <c r="C55" s="7">
        <v>2869.4521439999999</v>
      </c>
      <c r="D55" s="10" t="s">
        <v>2</v>
      </c>
    </row>
    <row r="56" spans="2:5" ht="408.9" customHeight="1" x14ac:dyDescent="0.35">
      <c r="B56" s="6">
        <v>40602</v>
      </c>
      <c r="C56" s="7">
        <v>3906.9429440000004</v>
      </c>
      <c r="D56" s="10" t="s">
        <v>51</v>
      </c>
    </row>
    <row r="57" spans="2:5" ht="408.9" customHeight="1" x14ac:dyDescent="0.35">
      <c r="B57" s="6">
        <v>40633</v>
      </c>
      <c r="C57" s="7">
        <v>3947.4860140000001</v>
      </c>
      <c r="D57" s="10" t="s">
        <v>52</v>
      </c>
    </row>
    <row r="58" spans="2:5" ht="408.9" customHeight="1" x14ac:dyDescent="0.35">
      <c r="B58" s="6">
        <v>40663</v>
      </c>
      <c r="C58" s="7">
        <v>4164.8411400000005</v>
      </c>
      <c r="D58" s="10" t="s">
        <v>53</v>
      </c>
    </row>
    <row r="59" spans="2:5" ht="408.9" customHeight="1" x14ac:dyDescent="0.35">
      <c r="B59" s="6">
        <v>40694</v>
      </c>
      <c r="C59" s="7">
        <v>3884.3417130000003</v>
      </c>
      <c r="D59" s="10" t="s">
        <v>54</v>
      </c>
    </row>
    <row r="60" spans="2:5" ht="408.9" customHeight="1" x14ac:dyDescent="0.35">
      <c r="B60" s="6">
        <v>40724</v>
      </c>
      <c r="C60" s="7">
        <v>3841.4849830000003</v>
      </c>
      <c r="D60" s="14" t="s">
        <v>55</v>
      </c>
    </row>
    <row r="61" spans="2:5" ht="408.9" customHeight="1" x14ac:dyDescent="0.35">
      <c r="B61" s="6">
        <v>40755</v>
      </c>
      <c r="C61" s="7">
        <v>3980.6705480000005</v>
      </c>
      <c r="D61" s="14" t="s">
        <v>56</v>
      </c>
    </row>
    <row r="62" spans="2:5" ht="408.9" customHeight="1" x14ac:dyDescent="0.35">
      <c r="B62" s="6">
        <v>40786</v>
      </c>
      <c r="C62" s="7">
        <v>4124.6200679999993</v>
      </c>
      <c r="D62" s="14" t="s">
        <v>57</v>
      </c>
    </row>
    <row r="63" spans="2:5" ht="408.9" customHeight="1" x14ac:dyDescent="0.35">
      <c r="B63" s="6">
        <v>40816</v>
      </c>
      <c r="C63" s="7">
        <v>3635.4181870000002</v>
      </c>
      <c r="D63" s="10" t="s">
        <v>58</v>
      </c>
      <c r="E63" s="5"/>
    </row>
    <row r="64" spans="2:5" ht="408.9" customHeight="1" x14ac:dyDescent="0.35">
      <c r="B64" s="6">
        <v>40847</v>
      </c>
      <c r="C64" s="7">
        <v>4548.5911429999996</v>
      </c>
      <c r="D64" s="10" t="s">
        <v>59</v>
      </c>
      <c r="E64" s="5"/>
    </row>
    <row r="65" spans="2:6" ht="408.9" customHeight="1" x14ac:dyDescent="0.35">
      <c r="B65" s="6">
        <v>40877</v>
      </c>
      <c r="C65" s="7">
        <v>4093.6840159999997</v>
      </c>
      <c r="D65" s="10" t="s">
        <v>60</v>
      </c>
      <c r="E65" s="5"/>
    </row>
    <row r="66" spans="2:6" ht="408.9" customHeight="1" x14ac:dyDescent="0.35">
      <c r="B66" s="6">
        <v>40908</v>
      </c>
      <c r="C66" s="7">
        <v>2957.6202840000001</v>
      </c>
      <c r="D66" s="10" t="s">
        <v>61</v>
      </c>
      <c r="E66" s="5"/>
    </row>
    <row r="67" spans="2:6" ht="408.9" customHeight="1" x14ac:dyDescent="0.35">
      <c r="B67" s="6">
        <v>40939</v>
      </c>
      <c r="C67" s="7">
        <v>3371.3787629999997</v>
      </c>
      <c r="D67" s="10" t="s">
        <v>62</v>
      </c>
      <c r="E67" s="5"/>
    </row>
    <row r="68" spans="2:6" ht="408.9" customHeight="1" x14ac:dyDescent="0.35">
      <c r="B68" s="6">
        <v>40968</v>
      </c>
      <c r="C68" s="7">
        <v>3375.5372480000001</v>
      </c>
      <c r="D68" s="10" t="s">
        <v>66</v>
      </c>
    </row>
    <row r="69" spans="2:6" ht="356.5" x14ac:dyDescent="0.35">
      <c r="B69" s="6">
        <v>40999</v>
      </c>
      <c r="C69" s="7">
        <v>3368.0891019999999</v>
      </c>
      <c r="D69" s="10" t="s">
        <v>67</v>
      </c>
    </row>
    <row r="70" spans="2:6" ht="356.5" x14ac:dyDescent="0.35">
      <c r="B70" s="6">
        <v>41029</v>
      </c>
      <c r="C70" s="7">
        <v>3787.3850979999993</v>
      </c>
      <c r="D70" s="10" t="s">
        <v>68</v>
      </c>
    </row>
    <row r="71" spans="2:6" ht="403" x14ac:dyDescent="0.35">
      <c r="B71" s="6">
        <v>41060</v>
      </c>
      <c r="C71" s="7">
        <v>3918.0823879999998</v>
      </c>
      <c r="D71" s="10" t="s">
        <v>69</v>
      </c>
    </row>
    <row r="72" spans="2:6" ht="387.5" x14ac:dyDescent="0.35">
      <c r="B72" s="6">
        <v>41090</v>
      </c>
      <c r="C72" s="7">
        <v>3930.9167700000003</v>
      </c>
      <c r="D72" s="10" t="s">
        <v>70</v>
      </c>
    </row>
    <row r="73" spans="2:6" ht="379.5" customHeight="1" x14ac:dyDescent="0.35">
      <c r="B73" s="6">
        <v>41121</v>
      </c>
      <c r="C73" s="7">
        <v>4040.3</v>
      </c>
      <c r="D73" s="10" t="s">
        <v>71</v>
      </c>
    </row>
    <row r="74" spans="2:6" ht="409.5" customHeight="1" x14ac:dyDescent="0.35">
      <c r="B74" s="6">
        <v>41152</v>
      </c>
      <c r="C74" s="7">
        <v>4218.8139609999998</v>
      </c>
      <c r="D74" s="10" t="s">
        <v>72</v>
      </c>
    </row>
    <row r="75" spans="2:6" ht="409.5" customHeight="1" x14ac:dyDescent="0.35">
      <c r="B75" s="6">
        <v>41182</v>
      </c>
      <c r="C75" s="7">
        <v>4883.431682999998</v>
      </c>
      <c r="D75" s="10" t="s">
        <v>73</v>
      </c>
    </row>
    <row r="76" spans="2:6" ht="409.5" customHeight="1" x14ac:dyDescent="0.35">
      <c r="B76" s="6">
        <v>41213</v>
      </c>
      <c r="C76" s="7">
        <v>4033.1888179999996</v>
      </c>
      <c r="D76" s="10" t="s">
        <v>74</v>
      </c>
    </row>
    <row r="77" spans="2:6" ht="409.5" customHeight="1" x14ac:dyDescent="0.35">
      <c r="B77" s="6">
        <v>41243</v>
      </c>
      <c r="C77" s="7">
        <v>3442.9640979999999</v>
      </c>
      <c r="D77" s="10" t="s">
        <v>75</v>
      </c>
    </row>
    <row r="78" spans="2:6" ht="409.5" customHeight="1" x14ac:dyDescent="0.35">
      <c r="B78" s="6">
        <v>41274</v>
      </c>
      <c r="C78" s="7">
        <v>2482.528069</v>
      </c>
      <c r="D78" s="10" t="s">
        <v>76</v>
      </c>
      <c r="F78" s="5"/>
    </row>
    <row r="79" spans="2:6" ht="409.5" customHeight="1" x14ac:dyDescent="0.35">
      <c r="B79" s="6">
        <v>41305</v>
      </c>
      <c r="C79" s="7">
        <v>2827.1006069999999</v>
      </c>
      <c r="D79" s="10" t="s">
        <v>77</v>
      </c>
    </row>
    <row r="80" spans="2:6" ht="409.5" customHeight="1" x14ac:dyDescent="0.35">
      <c r="B80" s="6">
        <v>41333</v>
      </c>
      <c r="C80" s="7">
        <v>4212.8118990000003</v>
      </c>
      <c r="D80" s="10" t="s">
        <v>78</v>
      </c>
    </row>
    <row r="81" spans="2:4" ht="409.5" customHeight="1" x14ac:dyDescent="0.35">
      <c r="B81" s="6">
        <v>41364</v>
      </c>
      <c r="C81" s="7">
        <v>4373.0264099999995</v>
      </c>
      <c r="D81" s="10" t="s">
        <v>79</v>
      </c>
    </row>
    <row r="82" spans="2:4" ht="409.5" customHeight="1" x14ac:dyDescent="0.35">
      <c r="B82" s="6">
        <v>41394</v>
      </c>
      <c r="C82" s="7">
        <v>4660.8657289999992</v>
      </c>
      <c r="D82" s="10" t="s">
        <v>80</v>
      </c>
    </row>
    <row r="83" spans="2:4" ht="409.5" customHeight="1" x14ac:dyDescent="0.35">
      <c r="B83" s="6">
        <v>41425</v>
      </c>
      <c r="C83" s="7">
        <v>4191.0997150000003</v>
      </c>
      <c r="D83" s="10" t="s">
        <v>81</v>
      </c>
    </row>
    <row r="84" spans="2:4" ht="409.5" customHeight="1" x14ac:dyDescent="0.35">
      <c r="B84" s="6">
        <v>41455</v>
      </c>
      <c r="C84" s="7">
        <v>3760.5449289999997</v>
      </c>
      <c r="D84" s="10" t="s">
        <v>82</v>
      </c>
    </row>
    <row r="85" spans="2:4" ht="409.5" customHeight="1" x14ac:dyDescent="0.35">
      <c r="B85" s="6">
        <v>41486</v>
      </c>
      <c r="C85" s="7">
        <v>3670.0080170000001</v>
      </c>
      <c r="D85" s="10" t="s">
        <v>83</v>
      </c>
    </row>
    <row r="86" spans="2:4" ht="409.5" customHeight="1" x14ac:dyDescent="0.35">
      <c r="B86" s="6">
        <v>41517</v>
      </c>
      <c r="C86" s="7">
        <v>4508.1204420000004</v>
      </c>
      <c r="D86" s="10" t="s">
        <v>84</v>
      </c>
    </row>
    <row r="87" spans="2:4" ht="409.5" customHeight="1" x14ac:dyDescent="0.35">
      <c r="B87" s="6">
        <v>41547</v>
      </c>
      <c r="C87" s="7">
        <v>4233.4999710000002</v>
      </c>
      <c r="D87" s="10" t="s">
        <v>85</v>
      </c>
    </row>
    <row r="88" spans="2:4" ht="409.5" customHeight="1" x14ac:dyDescent="0.35">
      <c r="B88" s="6">
        <v>41578</v>
      </c>
      <c r="C88" s="7">
        <v>4206.0046299999995</v>
      </c>
      <c r="D88" s="10" t="s">
        <v>86</v>
      </c>
    </row>
    <row r="89" spans="2:4" ht="409.6" customHeight="1" x14ac:dyDescent="0.35">
      <c r="B89" s="6">
        <v>41608</v>
      </c>
      <c r="C89" s="7">
        <v>4051.0577160000003</v>
      </c>
      <c r="D89" s="10" t="s">
        <v>87</v>
      </c>
    </row>
    <row r="90" spans="2:4" ht="409.6" customHeight="1" x14ac:dyDescent="0.35">
      <c r="B90" s="6">
        <v>41639</v>
      </c>
      <c r="C90" s="7">
        <v>4360.5216580000006</v>
      </c>
      <c r="D90" s="10" t="s">
        <v>88</v>
      </c>
    </row>
    <row r="91" spans="2:4" ht="409.6" customHeight="1" x14ac:dyDescent="0.35">
      <c r="B91" s="6">
        <v>41670</v>
      </c>
      <c r="C91" s="7">
        <v>4182.7264599999999</v>
      </c>
      <c r="D91" s="10" t="s">
        <v>92</v>
      </c>
    </row>
    <row r="92" spans="2:4" ht="409.6" customHeight="1" x14ac:dyDescent="0.35">
      <c r="B92" s="6">
        <v>41698</v>
      </c>
      <c r="C92" s="7">
        <v>4332.4056270000001</v>
      </c>
      <c r="D92" s="10" t="s">
        <v>89</v>
      </c>
    </row>
    <row r="93" spans="2:4" ht="409.5" x14ac:dyDescent="0.35">
      <c r="B93" s="6">
        <v>41729</v>
      </c>
      <c r="C93" s="7">
        <v>3976.251628</v>
      </c>
      <c r="D93" s="10" t="s">
        <v>90</v>
      </c>
    </row>
    <row r="94" spans="2:4" ht="409.5" x14ac:dyDescent="0.35">
      <c r="B94" s="6">
        <v>41759</v>
      </c>
      <c r="C94" s="7">
        <v>3568.8924630000001</v>
      </c>
      <c r="D94" s="10" t="s">
        <v>91</v>
      </c>
    </row>
    <row r="95" spans="2:4" ht="409.5" x14ac:dyDescent="0.35">
      <c r="B95" s="6">
        <v>41790</v>
      </c>
      <c r="C95" s="7">
        <v>4010.3070989999997</v>
      </c>
      <c r="D95" s="10" t="s">
        <v>93</v>
      </c>
    </row>
    <row r="96" spans="2:4" ht="409.5" x14ac:dyDescent="0.35">
      <c r="B96" s="6">
        <v>41820</v>
      </c>
      <c r="C96" s="7">
        <v>5822.3907989999989</v>
      </c>
      <c r="D96" s="10" t="s">
        <v>94</v>
      </c>
    </row>
    <row r="97" spans="2:4" ht="403" x14ac:dyDescent="0.35">
      <c r="B97" s="6">
        <v>41851</v>
      </c>
      <c r="C97" s="7">
        <v>5557.3942390000002</v>
      </c>
      <c r="D97" s="10" t="s">
        <v>95</v>
      </c>
    </row>
    <row r="98" spans="2:4" ht="372" x14ac:dyDescent="0.35">
      <c r="B98" s="6">
        <v>41882</v>
      </c>
      <c r="C98" s="7">
        <v>6171.2039249999998</v>
      </c>
      <c r="D98" s="10" t="s">
        <v>96</v>
      </c>
    </row>
    <row r="99" spans="2:4" ht="372" x14ac:dyDescent="0.35">
      <c r="B99" s="15">
        <v>41912</v>
      </c>
      <c r="C99" s="7">
        <v>6689.2281199999998</v>
      </c>
      <c r="D99" s="10" t="s">
        <v>97</v>
      </c>
    </row>
    <row r="100" spans="2:4" ht="409.5" x14ac:dyDescent="0.35">
      <c r="B100" s="15">
        <v>41943</v>
      </c>
      <c r="C100" s="7">
        <v>6002.5727770000003</v>
      </c>
      <c r="D100" s="10" t="s">
        <v>99</v>
      </c>
    </row>
    <row r="101" spans="2:4" ht="409.5" x14ac:dyDescent="0.35">
      <c r="B101" s="15">
        <v>41973</v>
      </c>
      <c r="C101" s="7">
        <v>5863.3020500000002</v>
      </c>
      <c r="D101" s="10" t="s">
        <v>100</v>
      </c>
    </row>
    <row r="102" spans="2:4" ht="403" x14ac:dyDescent="0.35">
      <c r="B102" s="15">
        <v>42004</v>
      </c>
      <c r="C102" s="7">
        <v>3949.0695759999999</v>
      </c>
      <c r="D102" s="10" t="s">
        <v>101</v>
      </c>
    </row>
    <row r="103" spans="2:4" ht="387.5" x14ac:dyDescent="0.35">
      <c r="B103" s="15">
        <v>42035</v>
      </c>
      <c r="C103" s="7">
        <v>3654.6880019999999</v>
      </c>
      <c r="D103" s="10" t="s">
        <v>102</v>
      </c>
    </row>
    <row r="104" spans="2:4" ht="356.5" x14ac:dyDescent="0.35">
      <c r="B104" s="15">
        <v>42063</v>
      </c>
      <c r="C104" s="7">
        <v>3717.3013890000002</v>
      </c>
      <c r="D104" s="10" t="s">
        <v>103</v>
      </c>
    </row>
    <row r="105" spans="2:4" ht="387.5" x14ac:dyDescent="0.35">
      <c r="B105" s="15">
        <v>42094</v>
      </c>
      <c r="C105" s="7">
        <v>3667.7366609999999</v>
      </c>
      <c r="D105" s="10" t="s">
        <v>104</v>
      </c>
    </row>
    <row r="106" spans="2:4" ht="409.5" x14ac:dyDescent="0.35">
      <c r="B106" s="15">
        <v>42124</v>
      </c>
      <c r="C106" s="7">
        <v>3439.9275309999998</v>
      </c>
      <c r="D106" s="10" t="s">
        <v>105</v>
      </c>
    </row>
    <row r="107" spans="2:4" ht="409.5" x14ac:dyDescent="0.35">
      <c r="B107" s="15">
        <v>42155</v>
      </c>
      <c r="C107" s="7">
        <v>4567.4590560000006</v>
      </c>
      <c r="D107" s="10" t="s">
        <v>106</v>
      </c>
    </row>
    <row r="108" spans="2:4" ht="409.5" x14ac:dyDescent="0.35">
      <c r="B108" s="15">
        <v>42185</v>
      </c>
      <c r="C108" s="7">
        <v>4739.1913859999995</v>
      </c>
      <c r="D108" s="10" t="s">
        <v>107</v>
      </c>
    </row>
    <row r="109" spans="2:4" ht="409.5" x14ac:dyDescent="0.35">
      <c r="B109" s="15">
        <v>42216</v>
      </c>
      <c r="C109" s="7">
        <v>4771.9663650000002</v>
      </c>
      <c r="D109" s="10" t="s">
        <v>108</v>
      </c>
    </row>
    <row r="110" spans="2:4" ht="409.5" x14ac:dyDescent="0.35">
      <c r="B110" s="15">
        <v>42247</v>
      </c>
      <c r="C110" s="7">
        <v>4201.4078630000004</v>
      </c>
      <c r="D110" s="10" t="s">
        <v>109</v>
      </c>
    </row>
    <row r="111" spans="2:4" ht="409.5" x14ac:dyDescent="0.35">
      <c r="B111" s="15">
        <v>42277</v>
      </c>
      <c r="C111" s="7">
        <v>3511.5641059999998</v>
      </c>
      <c r="D111" s="10" t="s">
        <v>110</v>
      </c>
    </row>
    <row r="112" spans="2:4" ht="409.5" x14ac:dyDescent="0.35">
      <c r="B112" s="15">
        <v>42308</v>
      </c>
      <c r="C112" s="7">
        <v>3308.3629830000004</v>
      </c>
      <c r="D112" s="10" t="s">
        <v>111</v>
      </c>
    </row>
    <row r="113" spans="2:4" ht="409.5" x14ac:dyDescent="0.35">
      <c r="B113" s="15">
        <v>42338</v>
      </c>
      <c r="C113" s="7">
        <v>3126.3197209999998</v>
      </c>
      <c r="D113" s="10" t="s">
        <v>112</v>
      </c>
    </row>
    <row r="114" spans="2:4" ht="409.5" x14ac:dyDescent="0.35">
      <c r="B114" s="15">
        <v>42369</v>
      </c>
      <c r="C114" s="7">
        <v>2495.9566260000001</v>
      </c>
      <c r="D114" s="10" t="s">
        <v>113</v>
      </c>
    </row>
    <row r="115" spans="2:4" ht="409.5" x14ac:dyDescent="0.35">
      <c r="B115" s="15">
        <v>42400</v>
      </c>
      <c r="C115" s="7">
        <v>3207.3593809999998</v>
      </c>
      <c r="D115" s="10" t="s">
        <v>114</v>
      </c>
    </row>
    <row r="116" spans="2:4" ht="409.5" customHeight="1" x14ac:dyDescent="0.35">
      <c r="B116" s="15">
        <v>42429</v>
      </c>
      <c r="C116" s="7">
        <v>3341.6422339999999</v>
      </c>
      <c r="D116" s="10" t="s">
        <v>115</v>
      </c>
    </row>
    <row r="117" spans="2:4" ht="409.5" customHeight="1" x14ac:dyDescent="0.35">
      <c r="B117" s="15">
        <v>42460</v>
      </c>
      <c r="C117" s="7">
        <v>2573.0683099999997</v>
      </c>
      <c r="D117" s="10" t="s">
        <v>116</v>
      </c>
    </row>
    <row r="118" spans="2:4" ht="409.5" customHeight="1" x14ac:dyDescent="0.35">
      <c r="B118" s="15">
        <v>42490</v>
      </c>
      <c r="C118" s="7">
        <v>2573.0683099999997</v>
      </c>
      <c r="D118" s="10" t="s">
        <v>117</v>
      </c>
    </row>
  </sheetData>
  <sheetProtection password="CEEF" sheet="1" formatCells="0" formatColumns="0" formatRows="0" insertColumns="0" insertRows="0" insertHyperlinks="0" deleteColumns="0" deleteRows="0" sort="0" autoFilter="0" pivotTables="0"/>
  <dataConsolidate/>
  <mergeCells count="2">
    <mergeCell ref="B3:D3"/>
    <mergeCell ref="B4:D4"/>
  </mergeCells>
  <printOptions horizontalCentered="1"/>
  <pageMargins left="0.74803149606299213" right="0.74803149606299213" top="0.39370078740157483" bottom="0.98425196850393704" header="0" footer="0"/>
  <pageSetup scale="4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SD65"/>
  <sheetViews>
    <sheetView zoomScaleNormal="100" workbookViewId="0">
      <pane xSplit="2" ySplit="5" topLeftCell="RI6" activePane="bottomRight" state="frozenSplit"/>
      <selection activeCell="A118" sqref="A118"/>
      <selection pane="topRight" activeCell="A118" sqref="A118"/>
      <selection pane="bottomLeft" activeCell="A118" sqref="A118"/>
      <selection pane="bottomRight" activeCell="RO19" sqref="RO19"/>
    </sheetView>
  </sheetViews>
  <sheetFormatPr baseColWidth="10" defaultColWidth="9.4609375" defaultRowHeight="15.5" x14ac:dyDescent="0.35"/>
  <cols>
    <col min="1" max="1" width="9.4609375" style="16"/>
    <col min="2" max="2" width="23.61328125" style="16" customWidth="1"/>
    <col min="3" max="3" width="10.84375" style="16" bestFit="1" customWidth="1"/>
    <col min="4" max="4" width="11.07421875" style="16" bestFit="1" customWidth="1"/>
    <col min="5" max="7" width="11" style="16" bestFit="1" customWidth="1"/>
    <col min="8" max="8" width="11.15234375" style="16" bestFit="1" customWidth="1"/>
    <col min="9" max="9" width="10.84375" style="16" bestFit="1" customWidth="1"/>
    <col min="10" max="17" width="11.4609375" style="16" bestFit="1" customWidth="1"/>
    <col min="18" max="19" width="10.61328125" style="16" bestFit="1" customWidth="1"/>
    <col min="20" max="20" width="12.07421875" style="16" bestFit="1" customWidth="1"/>
    <col min="21" max="26" width="11.4609375" style="16" bestFit="1" customWidth="1"/>
    <col min="27" max="31" width="11.3828125" style="16" customWidth="1"/>
    <col min="32" max="40" width="12.53515625" style="16" customWidth="1"/>
    <col min="41" max="41" width="12.921875" style="16" customWidth="1"/>
    <col min="42" max="53" width="13.3828125" style="16" customWidth="1"/>
    <col min="54" max="59" width="12.61328125" style="16" bestFit="1" customWidth="1"/>
    <col min="60" max="60" width="12.61328125" style="16" customWidth="1"/>
    <col min="61" max="74" width="12.61328125" style="16" bestFit="1" customWidth="1"/>
    <col min="75" max="79" width="13.15234375" style="16" bestFit="1" customWidth="1"/>
    <col min="80" max="80" width="8.3828125" style="16" bestFit="1" customWidth="1"/>
    <col min="81" max="81" width="7.921875" style="16" bestFit="1" customWidth="1"/>
    <col min="82" max="82" width="7.53515625" style="16" bestFit="1" customWidth="1"/>
    <col min="83" max="84" width="8" style="16" bestFit="1" customWidth="1"/>
    <col min="85" max="85" width="7.921875" style="16" bestFit="1" customWidth="1"/>
    <col min="86" max="103" width="9.4609375" style="16"/>
    <col min="104" max="104" width="8.61328125" style="16" customWidth="1"/>
    <col min="105" max="105" width="9.4609375" style="16"/>
    <col min="106" max="108" width="9.4609375" style="16" customWidth="1"/>
    <col min="109" max="113" width="9.4609375" style="16"/>
    <col min="114" max="115" width="8.15234375" style="16" bestFit="1" customWidth="1"/>
    <col min="116" max="117" width="9.4609375" style="16"/>
    <col min="118" max="118" width="9.4609375" style="16" customWidth="1"/>
    <col min="119" max="124" width="9.4609375" style="16"/>
    <col min="125" max="170" width="9.4609375" style="16" customWidth="1"/>
    <col min="171" max="215" width="9.4609375" style="16"/>
    <col min="217" max="364" width="9.4609375" style="16"/>
    <col min="365" max="366" width="10.61328125" style="16" bestFit="1" customWidth="1"/>
    <col min="367" max="398" width="11.07421875" style="16" bestFit="1" customWidth="1"/>
    <col min="399" max="16384" width="9.4609375" style="16"/>
  </cols>
  <sheetData>
    <row r="1" spans="1:498" x14ac:dyDescent="0.35">
      <c r="AT1" s="16" t="s">
        <v>130</v>
      </c>
      <c r="AU1" s="16" t="s">
        <v>130</v>
      </c>
      <c r="AV1" s="16" t="s">
        <v>130</v>
      </c>
    </row>
    <row r="2" spans="1:498" x14ac:dyDescent="0.35">
      <c r="B2" s="17" t="s">
        <v>98</v>
      </c>
    </row>
    <row r="3" spans="1:498" x14ac:dyDescent="0.35">
      <c r="B3" s="18" t="s">
        <v>1</v>
      </c>
    </row>
    <row r="4" spans="1:498" ht="12" x14ac:dyDescent="0.3">
      <c r="C4" s="16">
        <v>1</v>
      </c>
      <c r="D4" s="16">
        <f>+C4+1</f>
        <v>2</v>
      </c>
      <c r="E4" s="16">
        <f t="shared" ref="E4:BG4" si="0">+D4+1</f>
        <v>3</v>
      </c>
      <c r="F4" s="16">
        <f t="shared" si="0"/>
        <v>4</v>
      </c>
      <c r="G4" s="16">
        <f t="shared" si="0"/>
        <v>5</v>
      </c>
      <c r="H4" s="16">
        <f t="shared" si="0"/>
        <v>6</v>
      </c>
      <c r="I4" s="16">
        <f t="shared" si="0"/>
        <v>7</v>
      </c>
      <c r="J4" s="16">
        <f t="shared" si="0"/>
        <v>8</v>
      </c>
      <c r="K4" s="16">
        <f t="shared" si="0"/>
        <v>9</v>
      </c>
      <c r="L4" s="16">
        <f t="shared" si="0"/>
        <v>10</v>
      </c>
      <c r="M4" s="16">
        <f t="shared" si="0"/>
        <v>11</v>
      </c>
      <c r="N4" s="16">
        <f t="shared" si="0"/>
        <v>12</v>
      </c>
      <c r="O4" s="16">
        <f t="shared" si="0"/>
        <v>13</v>
      </c>
      <c r="P4" s="16">
        <f t="shared" si="0"/>
        <v>14</v>
      </c>
      <c r="Q4" s="16">
        <f t="shared" si="0"/>
        <v>15</v>
      </c>
      <c r="R4" s="16">
        <f t="shared" si="0"/>
        <v>16</v>
      </c>
      <c r="S4" s="16">
        <f t="shared" si="0"/>
        <v>17</v>
      </c>
      <c r="T4" s="16">
        <f t="shared" si="0"/>
        <v>18</v>
      </c>
      <c r="U4" s="16">
        <f t="shared" si="0"/>
        <v>19</v>
      </c>
      <c r="V4" s="16">
        <f t="shared" si="0"/>
        <v>20</v>
      </c>
      <c r="W4" s="16">
        <f t="shared" si="0"/>
        <v>21</v>
      </c>
      <c r="X4" s="16">
        <f t="shared" si="0"/>
        <v>22</v>
      </c>
      <c r="Y4" s="16">
        <f t="shared" si="0"/>
        <v>23</v>
      </c>
      <c r="Z4" s="16">
        <f t="shared" si="0"/>
        <v>24</v>
      </c>
      <c r="AA4" s="16">
        <f t="shared" si="0"/>
        <v>25</v>
      </c>
      <c r="AB4" s="16">
        <f t="shared" si="0"/>
        <v>26</v>
      </c>
      <c r="AC4" s="16">
        <f t="shared" si="0"/>
        <v>27</v>
      </c>
      <c r="AD4" s="16">
        <f t="shared" si="0"/>
        <v>28</v>
      </c>
      <c r="AE4" s="16">
        <f t="shared" si="0"/>
        <v>29</v>
      </c>
      <c r="AF4" s="16">
        <f t="shared" si="0"/>
        <v>30</v>
      </c>
      <c r="AG4" s="16">
        <f t="shared" si="0"/>
        <v>31</v>
      </c>
      <c r="AH4" s="16">
        <f t="shared" si="0"/>
        <v>32</v>
      </c>
      <c r="AI4" s="16">
        <f t="shared" si="0"/>
        <v>33</v>
      </c>
      <c r="AJ4" s="16">
        <f t="shared" si="0"/>
        <v>34</v>
      </c>
      <c r="AK4" s="16">
        <f t="shared" si="0"/>
        <v>35</v>
      </c>
      <c r="AL4" s="16">
        <f t="shared" si="0"/>
        <v>36</v>
      </c>
      <c r="AM4" s="16">
        <f t="shared" si="0"/>
        <v>37</v>
      </c>
      <c r="AN4" s="16">
        <f t="shared" si="0"/>
        <v>38</v>
      </c>
      <c r="AO4" s="16">
        <f t="shared" si="0"/>
        <v>39</v>
      </c>
      <c r="AP4" s="16">
        <f t="shared" si="0"/>
        <v>40</v>
      </c>
      <c r="AQ4" s="16">
        <f t="shared" si="0"/>
        <v>41</v>
      </c>
      <c r="AR4" s="16">
        <f t="shared" si="0"/>
        <v>42</v>
      </c>
      <c r="AS4" s="16">
        <f t="shared" si="0"/>
        <v>43</v>
      </c>
      <c r="AT4" s="16">
        <f t="shared" si="0"/>
        <v>44</v>
      </c>
      <c r="AU4" s="16">
        <f t="shared" si="0"/>
        <v>45</v>
      </c>
      <c r="AV4" s="16">
        <f t="shared" si="0"/>
        <v>46</v>
      </c>
      <c r="AW4" s="16">
        <f t="shared" si="0"/>
        <v>47</v>
      </c>
      <c r="AX4" s="16">
        <f t="shared" si="0"/>
        <v>48</v>
      </c>
      <c r="AY4" s="16">
        <f t="shared" si="0"/>
        <v>49</v>
      </c>
      <c r="AZ4" s="16">
        <f t="shared" si="0"/>
        <v>50</v>
      </c>
      <c r="BA4" s="16">
        <f t="shared" si="0"/>
        <v>51</v>
      </c>
      <c r="BB4" s="16">
        <f t="shared" si="0"/>
        <v>52</v>
      </c>
      <c r="BC4" s="16">
        <f t="shared" si="0"/>
        <v>53</v>
      </c>
      <c r="BD4" s="16">
        <f t="shared" si="0"/>
        <v>54</v>
      </c>
      <c r="BE4" s="16">
        <f t="shared" si="0"/>
        <v>55</v>
      </c>
      <c r="BF4" s="16">
        <f t="shared" si="0"/>
        <v>56</v>
      </c>
      <c r="BG4" s="16">
        <f t="shared" si="0"/>
        <v>57</v>
      </c>
      <c r="BH4" s="16">
        <f t="shared" ref="BH4:CA4" si="1">+BG4+1</f>
        <v>58</v>
      </c>
      <c r="BI4" s="16">
        <f t="shared" si="1"/>
        <v>59</v>
      </c>
      <c r="BJ4" s="16">
        <f t="shared" si="1"/>
        <v>60</v>
      </c>
      <c r="BK4" s="16">
        <f t="shared" si="1"/>
        <v>61</v>
      </c>
      <c r="BL4" s="16">
        <f t="shared" si="1"/>
        <v>62</v>
      </c>
      <c r="BM4" s="16">
        <f t="shared" si="1"/>
        <v>63</v>
      </c>
      <c r="BN4" s="16">
        <f t="shared" si="1"/>
        <v>64</v>
      </c>
      <c r="BO4" s="16">
        <f t="shared" si="1"/>
        <v>65</v>
      </c>
      <c r="BP4" s="16">
        <f t="shared" si="1"/>
        <v>66</v>
      </c>
      <c r="BQ4" s="16">
        <f t="shared" si="1"/>
        <v>67</v>
      </c>
      <c r="BR4" s="16">
        <f t="shared" si="1"/>
        <v>68</v>
      </c>
      <c r="BS4" s="16">
        <f t="shared" si="1"/>
        <v>69</v>
      </c>
      <c r="BT4" s="16">
        <f t="shared" si="1"/>
        <v>70</v>
      </c>
      <c r="BU4" s="16">
        <f t="shared" si="1"/>
        <v>71</v>
      </c>
      <c r="BV4" s="16">
        <f t="shared" si="1"/>
        <v>72</v>
      </c>
      <c r="BW4" s="16">
        <f t="shared" si="1"/>
        <v>73</v>
      </c>
      <c r="BX4" s="16">
        <f t="shared" si="1"/>
        <v>74</v>
      </c>
      <c r="BY4" s="16">
        <f t="shared" si="1"/>
        <v>75</v>
      </c>
      <c r="BZ4" s="16">
        <f>+BY4+1</f>
        <v>76</v>
      </c>
      <c r="CA4" s="16">
        <f t="shared" si="1"/>
        <v>77</v>
      </c>
      <c r="CB4" s="16">
        <f t="shared" ref="CB4:CG4" si="2">+CA4+1</f>
        <v>78</v>
      </c>
      <c r="CC4" s="16">
        <f t="shared" si="2"/>
        <v>79</v>
      </c>
      <c r="CD4" s="16">
        <f t="shared" si="2"/>
        <v>80</v>
      </c>
      <c r="CE4" s="16">
        <f t="shared" si="2"/>
        <v>81</v>
      </c>
      <c r="CF4" s="16">
        <f t="shared" si="2"/>
        <v>82</v>
      </c>
      <c r="CG4" s="16">
        <f t="shared" si="2"/>
        <v>83</v>
      </c>
      <c r="CH4" s="16">
        <f t="shared" ref="CH4:CM4" si="3">+CG4+1</f>
        <v>84</v>
      </c>
      <c r="CI4" s="16">
        <f t="shared" si="3"/>
        <v>85</v>
      </c>
      <c r="CJ4" s="16">
        <f t="shared" si="3"/>
        <v>86</v>
      </c>
      <c r="CK4" s="16">
        <f t="shared" si="3"/>
        <v>87</v>
      </c>
      <c r="CL4" s="16">
        <f t="shared" si="3"/>
        <v>88</v>
      </c>
      <c r="CM4" s="16">
        <f t="shared" si="3"/>
        <v>89</v>
      </c>
      <c r="CN4" s="16">
        <f t="shared" ref="CN4:CV4" si="4">+CM4+1</f>
        <v>90</v>
      </c>
      <c r="CO4" s="16">
        <f t="shared" si="4"/>
        <v>91</v>
      </c>
      <c r="CP4" s="16">
        <f t="shared" si="4"/>
        <v>92</v>
      </c>
      <c r="CQ4" s="16">
        <f t="shared" si="4"/>
        <v>93</v>
      </c>
      <c r="CR4" s="16">
        <f t="shared" si="4"/>
        <v>94</v>
      </c>
      <c r="CS4" s="16">
        <f t="shared" si="4"/>
        <v>95</v>
      </c>
      <c r="CT4" s="16">
        <f t="shared" si="4"/>
        <v>96</v>
      </c>
      <c r="CU4" s="16">
        <f t="shared" si="4"/>
        <v>97</v>
      </c>
      <c r="CV4" s="16">
        <f t="shared" si="4"/>
        <v>98</v>
      </c>
      <c r="CW4" s="16">
        <f t="shared" ref="CW4:DC4" si="5">+CV4+1</f>
        <v>99</v>
      </c>
      <c r="CX4" s="16">
        <f t="shared" si="5"/>
        <v>100</v>
      </c>
      <c r="CY4" s="16">
        <f t="shared" si="5"/>
        <v>101</v>
      </c>
      <c r="CZ4" s="16">
        <f t="shared" si="5"/>
        <v>102</v>
      </c>
      <c r="DA4" s="16">
        <f t="shared" si="5"/>
        <v>103</v>
      </c>
      <c r="DB4" s="16">
        <f t="shared" si="5"/>
        <v>104</v>
      </c>
      <c r="DC4" s="16">
        <f t="shared" si="5"/>
        <v>105</v>
      </c>
      <c r="DD4" s="16">
        <f t="shared" ref="DD4:DI4" si="6">+DC4+1</f>
        <v>106</v>
      </c>
      <c r="DE4" s="16">
        <f t="shared" si="6"/>
        <v>107</v>
      </c>
      <c r="DF4" s="16">
        <f t="shared" si="6"/>
        <v>108</v>
      </c>
      <c r="DG4" s="16">
        <f t="shared" si="6"/>
        <v>109</v>
      </c>
      <c r="DH4" s="16">
        <f t="shared" si="6"/>
        <v>110</v>
      </c>
      <c r="DI4" s="16">
        <f t="shared" si="6"/>
        <v>111</v>
      </c>
      <c r="DJ4" s="16">
        <f t="shared" ref="DJ4:DQ4" si="7">+DI4+1</f>
        <v>112</v>
      </c>
      <c r="DK4" s="16">
        <f t="shared" si="7"/>
        <v>113</v>
      </c>
      <c r="DL4" s="16">
        <f t="shared" si="7"/>
        <v>114</v>
      </c>
      <c r="DM4" s="16">
        <f t="shared" si="7"/>
        <v>115</v>
      </c>
      <c r="DN4" s="16">
        <f t="shared" si="7"/>
        <v>116</v>
      </c>
      <c r="DO4" s="16">
        <f t="shared" si="7"/>
        <v>117</v>
      </c>
      <c r="DP4" s="16">
        <f>+DO4+1</f>
        <v>118</v>
      </c>
      <c r="DQ4" s="16">
        <f t="shared" si="7"/>
        <v>119</v>
      </c>
      <c r="DR4" s="16">
        <f>+DQ4+1</f>
        <v>120</v>
      </c>
      <c r="DS4" s="16">
        <f>+DR4+1</f>
        <v>121</v>
      </c>
      <c r="DT4" s="16">
        <f>+DS4+1</f>
        <v>122</v>
      </c>
      <c r="DU4" s="16">
        <f>+DT4+1</f>
        <v>123</v>
      </c>
      <c r="DV4" s="16">
        <f>+DU4+1</f>
        <v>124</v>
      </c>
      <c r="DW4" s="16">
        <v>125</v>
      </c>
      <c r="DX4" s="16">
        <v>126</v>
      </c>
      <c r="DY4" s="16">
        <v>127</v>
      </c>
      <c r="DZ4" s="16">
        <v>128</v>
      </c>
      <c r="EA4" s="16">
        <v>129</v>
      </c>
      <c r="EB4" s="16">
        <v>130</v>
      </c>
      <c r="EC4" s="16">
        <v>131</v>
      </c>
      <c r="ED4" s="16">
        <v>132</v>
      </c>
      <c r="EE4" s="16">
        <v>133</v>
      </c>
      <c r="EF4" s="16">
        <v>134</v>
      </c>
      <c r="EG4" s="16">
        <v>135</v>
      </c>
      <c r="EH4" s="16">
        <v>136</v>
      </c>
      <c r="EI4" s="16">
        <v>137</v>
      </c>
      <c r="EJ4" s="16">
        <v>138</v>
      </c>
      <c r="EK4" s="16">
        <v>139</v>
      </c>
      <c r="EL4" s="16">
        <v>140</v>
      </c>
      <c r="EM4" s="16">
        <v>141</v>
      </c>
      <c r="EN4" s="16">
        <v>142</v>
      </c>
      <c r="EO4" s="16">
        <v>143</v>
      </c>
      <c r="EP4" s="16">
        <v>144</v>
      </c>
      <c r="EQ4" s="16">
        <v>145</v>
      </c>
      <c r="ER4" s="16">
        <v>146</v>
      </c>
      <c r="ES4" s="16">
        <v>147</v>
      </c>
      <c r="ET4" s="16">
        <v>148</v>
      </c>
      <c r="EU4" s="16">
        <v>149</v>
      </c>
      <c r="EV4" s="16">
        <v>150</v>
      </c>
      <c r="EW4" s="16">
        <v>151</v>
      </c>
      <c r="EX4" s="16">
        <v>152</v>
      </c>
      <c r="EY4" s="16">
        <v>153</v>
      </c>
      <c r="EZ4" s="16">
        <v>154</v>
      </c>
      <c r="FA4" s="16">
        <v>155</v>
      </c>
      <c r="FB4" s="16">
        <v>156</v>
      </c>
      <c r="FC4" s="16">
        <v>157</v>
      </c>
      <c r="FD4" s="16">
        <v>158</v>
      </c>
      <c r="FE4" s="16">
        <v>159</v>
      </c>
      <c r="FF4" s="16">
        <v>160</v>
      </c>
      <c r="FG4" s="16">
        <v>161</v>
      </c>
      <c r="FH4" s="16">
        <v>162</v>
      </c>
      <c r="FI4" s="16">
        <v>163</v>
      </c>
      <c r="FJ4" s="16">
        <v>164</v>
      </c>
      <c r="FK4" s="16">
        <v>165</v>
      </c>
      <c r="FL4" s="16">
        <v>166</v>
      </c>
      <c r="FM4" s="16">
        <v>167</v>
      </c>
      <c r="FN4" s="16">
        <v>168</v>
      </c>
      <c r="FO4" s="16">
        <v>169</v>
      </c>
      <c r="FP4" s="16">
        <v>170</v>
      </c>
      <c r="FQ4" s="16">
        <v>171</v>
      </c>
      <c r="FR4" s="16">
        <v>172</v>
      </c>
      <c r="FS4" s="16">
        <v>173</v>
      </c>
      <c r="FT4" s="16">
        <v>174</v>
      </c>
      <c r="FU4" s="16">
        <v>175</v>
      </c>
      <c r="FV4" s="16">
        <v>176</v>
      </c>
      <c r="FW4" s="16">
        <v>177</v>
      </c>
      <c r="FX4" s="16">
        <v>178</v>
      </c>
      <c r="FY4" s="16">
        <v>179</v>
      </c>
      <c r="FZ4" s="16">
        <v>180</v>
      </c>
      <c r="GA4" s="16">
        <v>181</v>
      </c>
      <c r="GB4" s="16">
        <v>182</v>
      </c>
      <c r="GC4" s="16">
        <v>183</v>
      </c>
      <c r="GD4" s="16">
        <v>184</v>
      </c>
      <c r="GE4" s="16">
        <v>185</v>
      </c>
      <c r="GF4" s="16">
        <v>186</v>
      </c>
      <c r="GG4" s="16">
        <v>187</v>
      </c>
      <c r="GH4" s="16">
        <v>188</v>
      </c>
      <c r="GI4" s="16">
        <v>189</v>
      </c>
      <c r="GJ4" s="16">
        <v>190</v>
      </c>
      <c r="GK4" s="16">
        <v>191</v>
      </c>
      <c r="GL4" s="16">
        <v>192</v>
      </c>
      <c r="GM4" s="16">
        <v>193</v>
      </c>
      <c r="GN4" s="16">
        <v>194</v>
      </c>
      <c r="GO4" s="16">
        <v>195</v>
      </c>
      <c r="GP4" s="16">
        <v>196</v>
      </c>
      <c r="GQ4" s="16">
        <v>197</v>
      </c>
      <c r="GR4" s="16">
        <v>198</v>
      </c>
      <c r="GS4" s="16">
        <v>199</v>
      </c>
      <c r="GT4" s="16">
        <v>200</v>
      </c>
      <c r="GU4" s="16">
        <v>201</v>
      </c>
      <c r="GV4" s="16">
        <v>202</v>
      </c>
      <c r="GW4" s="16">
        <v>203</v>
      </c>
      <c r="GX4" s="16">
        <v>204</v>
      </c>
      <c r="GY4" s="16">
        <v>205</v>
      </c>
      <c r="GZ4" s="16">
        <v>206</v>
      </c>
      <c r="HA4" s="16">
        <v>207</v>
      </c>
      <c r="HB4" s="16">
        <v>208</v>
      </c>
      <c r="HC4" s="16">
        <v>209</v>
      </c>
      <c r="HD4" s="16">
        <v>210</v>
      </c>
      <c r="HE4" s="16">
        <v>211</v>
      </c>
      <c r="HF4" s="16">
        <v>212</v>
      </c>
      <c r="HG4" s="16">
        <v>213</v>
      </c>
      <c r="HH4" s="16">
        <v>214</v>
      </c>
      <c r="HI4" s="16">
        <v>215</v>
      </c>
      <c r="HJ4" s="16">
        <v>216</v>
      </c>
      <c r="HK4" s="16">
        <v>217</v>
      </c>
      <c r="HL4" s="16">
        <v>218</v>
      </c>
      <c r="HM4" s="16">
        <v>219</v>
      </c>
      <c r="HN4" s="16">
        <v>220</v>
      </c>
      <c r="HO4" s="16">
        <v>221</v>
      </c>
      <c r="HP4" s="16">
        <v>222</v>
      </c>
      <c r="HQ4" s="16">
        <v>223</v>
      </c>
      <c r="HR4" s="16">
        <v>224</v>
      </c>
      <c r="HS4" s="16">
        <v>225</v>
      </c>
      <c r="HT4" s="16">
        <v>226</v>
      </c>
      <c r="HU4" s="16">
        <v>227</v>
      </c>
      <c r="HV4" s="16">
        <v>228</v>
      </c>
      <c r="HW4" s="16">
        <v>229</v>
      </c>
      <c r="HX4" s="16">
        <v>230</v>
      </c>
      <c r="HY4" s="16">
        <v>231</v>
      </c>
      <c r="HZ4" s="16">
        <v>232</v>
      </c>
      <c r="IA4" s="16">
        <v>233</v>
      </c>
      <c r="IB4" s="16">
        <v>234</v>
      </c>
      <c r="IC4" s="16">
        <v>235</v>
      </c>
      <c r="ID4" s="16">
        <v>236</v>
      </c>
      <c r="IE4" s="16">
        <v>237</v>
      </c>
      <c r="IF4" s="16">
        <v>238</v>
      </c>
      <c r="IG4" s="16">
        <v>239</v>
      </c>
      <c r="IH4" s="16">
        <v>239</v>
      </c>
      <c r="II4" s="16">
        <v>239</v>
      </c>
      <c r="IJ4" s="16">
        <v>240</v>
      </c>
      <c r="IK4" s="16">
        <v>241</v>
      </c>
      <c r="IL4" s="16">
        <v>242</v>
      </c>
      <c r="IM4" s="16">
        <v>243</v>
      </c>
      <c r="IN4" s="16">
        <v>244</v>
      </c>
      <c r="IO4" s="16">
        <v>245</v>
      </c>
      <c r="IP4" s="16">
        <v>246</v>
      </c>
      <c r="IQ4" s="16">
        <v>247</v>
      </c>
      <c r="IR4" s="16">
        <v>248</v>
      </c>
      <c r="IS4" s="16">
        <v>249</v>
      </c>
      <c r="IT4" s="16">
        <v>250</v>
      </c>
      <c r="IU4" s="16">
        <v>251</v>
      </c>
      <c r="IV4" s="16">
        <v>252</v>
      </c>
      <c r="IW4" s="16">
        <v>253</v>
      </c>
      <c r="IX4" s="16">
        <v>254</v>
      </c>
      <c r="IY4" s="16">
        <v>255</v>
      </c>
      <c r="IZ4" s="16">
        <v>256</v>
      </c>
      <c r="JA4" s="16">
        <v>257</v>
      </c>
      <c r="JB4" s="16">
        <v>258</v>
      </c>
      <c r="JC4" s="16">
        <v>259</v>
      </c>
      <c r="JD4" s="16">
        <v>260</v>
      </c>
      <c r="JE4" s="16">
        <v>261</v>
      </c>
      <c r="JF4" s="16">
        <v>262</v>
      </c>
      <c r="JG4" s="16">
        <v>263</v>
      </c>
      <c r="JH4" s="16">
        <v>264</v>
      </c>
      <c r="JI4" s="16">
        <v>265</v>
      </c>
      <c r="JJ4" s="16">
        <v>266</v>
      </c>
      <c r="JK4" s="16">
        <v>267</v>
      </c>
      <c r="JL4" s="16">
        <v>268</v>
      </c>
      <c r="JM4" s="16">
        <v>269</v>
      </c>
      <c r="JN4" s="16">
        <v>270</v>
      </c>
      <c r="JO4" s="16">
        <v>271</v>
      </c>
      <c r="JP4" s="16">
        <v>272</v>
      </c>
      <c r="JQ4" s="16">
        <v>273</v>
      </c>
      <c r="JR4" s="16">
        <v>274</v>
      </c>
      <c r="JS4" s="16">
        <v>275</v>
      </c>
      <c r="JT4" s="16">
        <v>276</v>
      </c>
      <c r="JU4" s="16">
        <v>277</v>
      </c>
      <c r="JV4" s="16">
        <v>278</v>
      </c>
      <c r="JW4" s="16">
        <v>279</v>
      </c>
      <c r="JX4" s="16">
        <v>280</v>
      </c>
      <c r="JY4" s="16">
        <v>281</v>
      </c>
      <c r="JZ4" s="16">
        <v>282</v>
      </c>
      <c r="KA4" s="16">
        <v>283</v>
      </c>
      <c r="KB4" s="16">
        <v>284</v>
      </c>
      <c r="KC4" s="16">
        <v>285</v>
      </c>
      <c r="KD4" s="16">
        <v>286</v>
      </c>
      <c r="KE4" s="16">
        <v>287</v>
      </c>
      <c r="KF4" s="16">
        <v>288</v>
      </c>
      <c r="KG4" s="16">
        <v>289</v>
      </c>
      <c r="KH4" s="16">
        <v>290</v>
      </c>
      <c r="KI4" s="16">
        <v>291</v>
      </c>
      <c r="KJ4" s="16">
        <v>292</v>
      </c>
      <c r="KK4" s="16">
        <v>293</v>
      </c>
      <c r="KL4" s="16">
        <v>294</v>
      </c>
      <c r="KM4" s="16">
        <v>295</v>
      </c>
      <c r="KN4" s="16">
        <v>296</v>
      </c>
      <c r="KO4" s="16">
        <v>297</v>
      </c>
      <c r="KP4" s="16">
        <v>298</v>
      </c>
      <c r="KQ4" s="16">
        <v>299</v>
      </c>
      <c r="KR4" s="16">
        <v>300</v>
      </c>
      <c r="KS4" s="16">
        <v>301</v>
      </c>
      <c r="KT4" s="16">
        <v>302</v>
      </c>
      <c r="KU4" s="16">
        <v>303</v>
      </c>
      <c r="KV4" s="16">
        <v>304</v>
      </c>
      <c r="KW4" s="16">
        <v>305</v>
      </c>
      <c r="KX4" s="16">
        <v>306</v>
      </c>
      <c r="KY4" s="16">
        <v>307</v>
      </c>
      <c r="KZ4" s="16">
        <v>308</v>
      </c>
      <c r="LA4" s="16">
        <v>309</v>
      </c>
      <c r="LB4" s="16">
        <v>310</v>
      </c>
      <c r="LC4" s="16">
        <v>311</v>
      </c>
      <c r="LD4" s="16">
        <v>312</v>
      </c>
      <c r="LE4" s="16">
        <v>313</v>
      </c>
      <c r="LF4" s="16">
        <v>314</v>
      </c>
      <c r="LG4" s="16">
        <v>315</v>
      </c>
      <c r="LH4" s="16">
        <v>316</v>
      </c>
      <c r="LI4" s="16">
        <v>317</v>
      </c>
      <c r="LJ4" s="16">
        <v>318</v>
      </c>
      <c r="LK4" s="16">
        <v>319</v>
      </c>
      <c r="LL4" s="16">
        <v>320</v>
      </c>
      <c r="LM4" s="16">
        <v>321</v>
      </c>
      <c r="LN4" s="16">
        <v>322</v>
      </c>
      <c r="LO4" s="16">
        <v>323</v>
      </c>
      <c r="LP4" s="16">
        <v>324</v>
      </c>
      <c r="LQ4" s="16">
        <v>325</v>
      </c>
      <c r="LR4" s="16">
        <v>326</v>
      </c>
      <c r="LS4" s="16">
        <v>327</v>
      </c>
      <c r="LT4" s="16">
        <v>328</v>
      </c>
      <c r="LU4" s="16">
        <v>329</v>
      </c>
      <c r="LV4" s="16">
        <v>330</v>
      </c>
      <c r="LW4" s="16">
        <v>331</v>
      </c>
      <c r="LX4" s="16">
        <v>332</v>
      </c>
      <c r="LY4" s="16">
        <v>333</v>
      </c>
      <c r="LZ4" s="16">
        <v>334</v>
      </c>
      <c r="MA4" s="16">
        <v>335</v>
      </c>
      <c r="MB4" s="16">
        <v>336</v>
      </c>
      <c r="MC4" s="16">
        <v>337</v>
      </c>
      <c r="MD4" s="16">
        <v>338</v>
      </c>
      <c r="ME4" s="16">
        <v>339</v>
      </c>
      <c r="MF4" s="16">
        <v>340</v>
      </c>
      <c r="MG4" s="16">
        <v>341</v>
      </c>
      <c r="MH4" s="16">
        <v>342</v>
      </c>
      <c r="MI4" s="16">
        <v>343</v>
      </c>
      <c r="MJ4" s="16">
        <v>344</v>
      </c>
      <c r="MK4" s="16">
        <v>345</v>
      </c>
      <c r="ML4" s="16">
        <v>346</v>
      </c>
      <c r="MM4" s="16">
        <v>347</v>
      </c>
      <c r="MN4" s="16">
        <v>348</v>
      </c>
      <c r="MO4" s="16">
        <v>349</v>
      </c>
      <c r="MP4" s="16">
        <v>350</v>
      </c>
      <c r="MQ4" s="16">
        <v>351</v>
      </c>
      <c r="MR4" s="16">
        <v>352</v>
      </c>
      <c r="MS4" s="16">
        <v>353</v>
      </c>
      <c r="MT4" s="16">
        <v>354</v>
      </c>
      <c r="MU4" s="16">
        <v>355</v>
      </c>
      <c r="MV4" s="16">
        <v>356</v>
      </c>
      <c r="MW4" s="16">
        <v>357</v>
      </c>
      <c r="MX4" s="16">
        <v>358</v>
      </c>
      <c r="MY4" s="16">
        <v>359</v>
      </c>
      <c r="MZ4" s="16">
        <v>360</v>
      </c>
      <c r="NA4" s="16">
        <v>361</v>
      </c>
      <c r="NB4" s="16">
        <v>362</v>
      </c>
      <c r="NC4" s="16">
        <v>363</v>
      </c>
      <c r="ND4" s="16">
        <v>364</v>
      </c>
      <c r="NE4" s="16">
        <v>365</v>
      </c>
      <c r="NF4" s="16">
        <v>366</v>
      </c>
      <c r="NG4" s="16">
        <v>367</v>
      </c>
      <c r="NH4" s="16">
        <v>368</v>
      </c>
      <c r="NI4" s="16">
        <v>369</v>
      </c>
      <c r="NJ4" s="16">
        <v>370</v>
      </c>
      <c r="NK4" s="16">
        <v>371</v>
      </c>
      <c r="NL4" s="16">
        <v>372</v>
      </c>
      <c r="NM4" s="16">
        <v>373</v>
      </c>
      <c r="NN4" s="16">
        <v>374</v>
      </c>
      <c r="NO4" s="16">
        <v>375</v>
      </c>
      <c r="NP4" s="16">
        <v>376</v>
      </c>
      <c r="NQ4" s="16">
        <v>377</v>
      </c>
      <c r="NR4" s="16">
        <v>378</v>
      </c>
      <c r="NS4" s="16">
        <v>379</v>
      </c>
      <c r="NT4" s="16">
        <v>380</v>
      </c>
      <c r="NU4" s="16">
        <v>381</v>
      </c>
      <c r="NV4" s="16">
        <v>382</v>
      </c>
      <c r="NW4" s="16">
        <v>383</v>
      </c>
      <c r="NX4" s="16">
        <v>384</v>
      </c>
      <c r="NY4" s="16">
        <v>385</v>
      </c>
      <c r="NZ4" s="16">
        <v>386</v>
      </c>
      <c r="OA4" s="16">
        <v>387</v>
      </c>
      <c r="OB4" s="16">
        <v>388</v>
      </c>
      <c r="OC4" s="16">
        <v>389</v>
      </c>
      <c r="OD4" s="16">
        <v>390</v>
      </c>
      <c r="OE4" s="16">
        <v>391</v>
      </c>
      <c r="OF4" s="16">
        <v>392</v>
      </c>
      <c r="OG4" s="16">
        <v>393</v>
      </c>
      <c r="OH4" s="16">
        <v>394</v>
      </c>
      <c r="OI4" s="16">
        <v>395</v>
      </c>
      <c r="OJ4" s="16">
        <v>396</v>
      </c>
      <c r="OK4" s="16">
        <v>397</v>
      </c>
      <c r="OL4" s="16">
        <v>398</v>
      </c>
      <c r="OM4" s="16">
        <v>399</v>
      </c>
      <c r="ON4" s="16">
        <v>400</v>
      </c>
      <c r="OO4" s="16">
        <v>401</v>
      </c>
      <c r="OP4" s="16">
        <v>402</v>
      </c>
      <c r="OQ4" s="16">
        <v>403</v>
      </c>
      <c r="OR4" s="16">
        <v>404</v>
      </c>
      <c r="OS4" s="16">
        <v>405</v>
      </c>
      <c r="OT4" s="16">
        <v>406</v>
      </c>
      <c r="OU4" s="16">
        <v>407</v>
      </c>
      <c r="OV4" s="16">
        <v>408</v>
      </c>
      <c r="OW4" s="16">
        <v>409</v>
      </c>
      <c r="OX4" s="16">
        <v>410</v>
      </c>
      <c r="OY4" s="16">
        <v>411</v>
      </c>
      <c r="OZ4" s="16">
        <v>412</v>
      </c>
      <c r="PA4" s="16">
        <v>413</v>
      </c>
      <c r="PB4" s="16">
        <v>414</v>
      </c>
      <c r="PC4" s="16">
        <v>415</v>
      </c>
      <c r="PD4" s="16">
        <v>416</v>
      </c>
      <c r="PE4" s="16">
        <v>417</v>
      </c>
      <c r="PF4" s="16">
        <v>418</v>
      </c>
      <c r="PG4" s="16">
        <v>419</v>
      </c>
      <c r="PH4" s="16">
        <v>420</v>
      </c>
      <c r="PI4" s="16">
        <v>421</v>
      </c>
      <c r="PJ4" s="16">
        <v>422</v>
      </c>
      <c r="PK4" s="16">
        <v>423</v>
      </c>
      <c r="PL4" s="16">
        <v>424</v>
      </c>
      <c r="PM4" s="16">
        <v>425</v>
      </c>
      <c r="PN4" s="16">
        <v>426</v>
      </c>
      <c r="PO4" s="16">
        <v>427</v>
      </c>
      <c r="PP4" s="16">
        <v>428</v>
      </c>
      <c r="PQ4" s="16">
        <v>429</v>
      </c>
      <c r="PR4" s="16">
        <v>430</v>
      </c>
      <c r="PS4" s="16">
        <v>431</v>
      </c>
      <c r="PT4" s="16">
        <v>432</v>
      </c>
      <c r="PU4" s="16">
        <v>433</v>
      </c>
      <c r="PV4" s="16">
        <v>434</v>
      </c>
      <c r="PW4" s="16">
        <v>435</v>
      </c>
      <c r="PX4" s="16">
        <v>436</v>
      </c>
      <c r="PY4" s="16">
        <v>437</v>
      </c>
      <c r="PZ4" s="16">
        <v>438</v>
      </c>
      <c r="QA4" s="16">
        <v>439</v>
      </c>
      <c r="QB4" s="16">
        <v>440</v>
      </c>
      <c r="QC4" s="16">
        <v>441</v>
      </c>
      <c r="QD4" s="16">
        <v>442</v>
      </c>
      <c r="QE4" s="16">
        <v>443</v>
      </c>
      <c r="QF4" s="16">
        <v>444</v>
      </c>
      <c r="QG4" s="16">
        <v>445</v>
      </c>
      <c r="QH4" s="16">
        <v>446</v>
      </c>
      <c r="QI4" s="16">
        <v>447</v>
      </c>
      <c r="QJ4" s="16">
        <v>448</v>
      </c>
      <c r="QK4" s="16">
        <v>449</v>
      </c>
      <c r="QL4" s="16">
        <v>450</v>
      </c>
      <c r="QM4" s="16">
        <v>451</v>
      </c>
      <c r="QN4" s="16">
        <v>452</v>
      </c>
      <c r="QO4" s="16">
        <v>453</v>
      </c>
      <c r="QP4" s="16">
        <v>454</v>
      </c>
      <c r="QQ4" s="16">
        <v>455</v>
      </c>
      <c r="QR4" s="16">
        <v>456</v>
      </c>
      <c r="QS4" s="16">
        <v>457</v>
      </c>
      <c r="QT4" s="16">
        <v>458</v>
      </c>
      <c r="QU4" s="16">
        <v>459</v>
      </c>
      <c r="QV4" s="16">
        <v>460</v>
      </c>
      <c r="QW4" s="16">
        <v>461</v>
      </c>
      <c r="QX4" s="16">
        <v>462</v>
      </c>
      <c r="QY4" s="16">
        <v>463</v>
      </c>
      <c r="QZ4" s="16">
        <v>464</v>
      </c>
      <c r="RA4" s="16">
        <v>467</v>
      </c>
      <c r="RB4" s="16">
        <v>468</v>
      </c>
      <c r="RC4" s="16">
        <v>469</v>
      </c>
      <c r="RD4" s="16">
        <v>470</v>
      </c>
      <c r="RE4" s="16">
        <v>471</v>
      </c>
      <c r="RF4" s="16">
        <v>472</v>
      </c>
      <c r="RG4" s="16">
        <v>473</v>
      </c>
      <c r="RH4" s="16">
        <v>475</v>
      </c>
      <c r="RI4" s="16">
        <v>476</v>
      </c>
      <c r="RJ4" s="16">
        <v>477</v>
      </c>
      <c r="RK4" s="16">
        <v>478</v>
      </c>
      <c r="RL4" s="16">
        <v>479</v>
      </c>
      <c r="RM4" s="16">
        <v>480</v>
      </c>
      <c r="RN4" s="16">
        <v>481</v>
      </c>
      <c r="RO4" s="16">
        <v>482</v>
      </c>
    </row>
    <row r="5" spans="1:498" ht="12" x14ac:dyDescent="0.3">
      <c r="A5" s="16">
        <v>1</v>
      </c>
      <c r="C5" s="19">
        <v>40178</v>
      </c>
      <c r="D5" s="19">
        <v>40209</v>
      </c>
      <c r="E5" s="19">
        <v>40237</v>
      </c>
      <c r="F5" s="19">
        <v>40268</v>
      </c>
      <c r="G5" s="19">
        <v>40298</v>
      </c>
      <c r="H5" s="19">
        <v>40329</v>
      </c>
      <c r="I5" s="19">
        <v>40359</v>
      </c>
      <c r="J5" s="19">
        <v>40390</v>
      </c>
      <c r="K5" s="19">
        <v>40421</v>
      </c>
      <c r="L5" s="19">
        <v>40451</v>
      </c>
      <c r="M5" s="19">
        <v>40482</v>
      </c>
      <c r="N5" s="19">
        <v>40512</v>
      </c>
      <c r="O5" s="19">
        <v>40543</v>
      </c>
      <c r="P5" s="19">
        <v>40574</v>
      </c>
      <c r="Q5" s="19">
        <v>40602</v>
      </c>
      <c r="R5" s="19">
        <v>40633</v>
      </c>
      <c r="S5" s="19">
        <v>40663</v>
      </c>
      <c r="T5" s="19">
        <v>40694</v>
      </c>
      <c r="U5" s="19">
        <v>40724</v>
      </c>
      <c r="V5" s="19">
        <v>40755</v>
      </c>
      <c r="W5" s="19">
        <v>40786</v>
      </c>
      <c r="X5" s="19">
        <v>40816</v>
      </c>
      <c r="Y5" s="19">
        <v>40847</v>
      </c>
      <c r="Z5" s="19">
        <v>40877</v>
      </c>
      <c r="AA5" s="19">
        <v>40908</v>
      </c>
      <c r="AB5" s="19">
        <v>40939</v>
      </c>
      <c r="AC5" s="19">
        <v>40968</v>
      </c>
      <c r="AD5" s="19">
        <v>40999</v>
      </c>
      <c r="AE5" s="19">
        <v>41029</v>
      </c>
      <c r="AF5" s="19">
        <v>41060</v>
      </c>
      <c r="AG5" s="19">
        <v>41090</v>
      </c>
      <c r="AH5" s="19">
        <v>41121</v>
      </c>
      <c r="AI5" s="19">
        <v>41152</v>
      </c>
      <c r="AJ5" s="19">
        <v>41182</v>
      </c>
      <c r="AK5" s="19">
        <v>41213</v>
      </c>
      <c r="AL5" s="19">
        <v>41243</v>
      </c>
      <c r="AM5" s="19">
        <v>41274</v>
      </c>
      <c r="AN5" s="19">
        <v>41305</v>
      </c>
      <c r="AO5" s="19">
        <v>41333</v>
      </c>
      <c r="AP5" s="19">
        <v>41364</v>
      </c>
      <c r="AQ5" s="19">
        <v>41394</v>
      </c>
      <c r="AR5" s="19">
        <v>41425</v>
      </c>
      <c r="AS5" s="19">
        <v>41455</v>
      </c>
      <c r="AT5" s="19">
        <v>41486</v>
      </c>
      <c r="AU5" s="19">
        <v>41517</v>
      </c>
      <c r="AV5" s="19">
        <v>41547</v>
      </c>
      <c r="AW5" s="19">
        <v>41578</v>
      </c>
      <c r="AX5" s="19">
        <v>41608</v>
      </c>
      <c r="AY5" s="19">
        <v>41639</v>
      </c>
      <c r="AZ5" s="19">
        <v>41670</v>
      </c>
      <c r="BA5" s="19">
        <v>41698</v>
      </c>
      <c r="BB5" s="19">
        <v>41729</v>
      </c>
      <c r="BC5" s="19">
        <v>41759</v>
      </c>
      <c r="BD5" s="19">
        <v>41790</v>
      </c>
      <c r="BE5" s="19">
        <v>41820</v>
      </c>
      <c r="BF5" s="19">
        <v>41851</v>
      </c>
      <c r="BG5" s="19">
        <v>41882</v>
      </c>
      <c r="BH5" s="19">
        <v>41943</v>
      </c>
      <c r="BI5" s="19">
        <v>41912</v>
      </c>
      <c r="BJ5" s="19">
        <v>41973</v>
      </c>
      <c r="BK5" s="19">
        <v>42004</v>
      </c>
      <c r="BL5" s="19">
        <v>42035</v>
      </c>
      <c r="BM5" s="19">
        <v>42063</v>
      </c>
      <c r="BN5" s="19">
        <v>42094</v>
      </c>
      <c r="BO5" s="19">
        <v>42124</v>
      </c>
      <c r="BP5" s="19">
        <v>42155</v>
      </c>
      <c r="BQ5" s="19">
        <v>42185</v>
      </c>
      <c r="BR5" s="19">
        <v>42216</v>
      </c>
      <c r="BS5" s="19">
        <v>42247</v>
      </c>
      <c r="BT5" s="19">
        <v>42277</v>
      </c>
      <c r="BU5" s="19">
        <v>42308</v>
      </c>
      <c r="BV5" s="19">
        <v>42338</v>
      </c>
      <c r="BW5" s="19">
        <v>42369</v>
      </c>
      <c r="BX5" s="19">
        <v>42400</v>
      </c>
      <c r="BY5" s="19">
        <v>42429</v>
      </c>
      <c r="BZ5" s="19">
        <v>42460</v>
      </c>
      <c r="CA5" s="19">
        <v>42490</v>
      </c>
      <c r="CB5" s="19">
        <v>42521</v>
      </c>
      <c r="CC5" s="19">
        <v>42551</v>
      </c>
      <c r="CD5" s="19">
        <v>42582</v>
      </c>
      <c r="CE5" s="19">
        <v>42613</v>
      </c>
      <c r="CF5" s="19">
        <v>42643</v>
      </c>
      <c r="CG5" s="19">
        <v>42674</v>
      </c>
      <c r="CH5" s="19">
        <v>42704</v>
      </c>
      <c r="CI5" s="19">
        <v>42735</v>
      </c>
      <c r="CJ5" s="19">
        <v>42766</v>
      </c>
      <c r="CK5" s="19">
        <v>42794</v>
      </c>
      <c r="CL5" s="19">
        <v>42825</v>
      </c>
      <c r="CM5" s="19">
        <v>42855</v>
      </c>
      <c r="CN5" s="19">
        <v>42886</v>
      </c>
      <c r="CO5" s="19">
        <v>42916</v>
      </c>
      <c r="CP5" s="19">
        <v>42947</v>
      </c>
      <c r="CQ5" s="19">
        <v>42978</v>
      </c>
      <c r="CR5" s="19">
        <v>43008</v>
      </c>
      <c r="CS5" s="19">
        <v>43039</v>
      </c>
      <c r="CT5" s="19">
        <v>43069</v>
      </c>
      <c r="CU5" s="19">
        <v>43100</v>
      </c>
      <c r="CV5" s="19">
        <v>43131</v>
      </c>
      <c r="CW5" s="19">
        <v>43159</v>
      </c>
      <c r="CX5" s="19">
        <v>43190</v>
      </c>
      <c r="CY5" s="19">
        <v>43220</v>
      </c>
      <c r="CZ5" s="19">
        <v>43251</v>
      </c>
      <c r="DA5" s="19">
        <v>43281</v>
      </c>
      <c r="DB5" s="19">
        <v>43312</v>
      </c>
      <c r="DC5" s="19">
        <v>43343</v>
      </c>
      <c r="DD5" s="19">
        <v>43373</v>
      </c>
      <c r="DE5" s="19">
        <v>43404</v>
      </c>
      <c r="DF5" s="19">
        <v>43434</v>
      </c>
      <c r="DG5" s="19">
        <v>43465</v>
      </c>
      <c r="DH5" s="19">
        <v>43496</v>
      </c>
      <c r="DI5" s="19">
        <v>43524</v>
      </c>
      <c r="DJ5" s="28">
        <v>43555</v>
      </c>
      <c r="DK5" s="19">
        <v>43585</v>
      </c>
      <c r="DL5" s="19">
        <v>43616</v>
      </c>
      <c r="DM5" s="19">
        <v>43646</v>
      </c>
      <c r="DN5" s="19">
        <v>43677</v>
      </c>
      <c r="DO5" s="19">
        <v>43708</v>
      </c>
      <c r="DP5" s="19">
        <v>43738</v>
      </c>
      <c r="DQ5" s="19">
        <v>43769</v>
      </c>
      <c r="DR5" s="19">
        <v>43799</v>
      </c>
      <c r="DS5" s="19">
        <v>43830</v>
      </c>
      <c r="DT5" s="19">
        <v>43861</v>
      </c>
      <c r="DU5" s="19">
        <v>43890</v>
      </c>
      <c r="DV5" s="19">
        <v>43896</v>
      </c>
      <c r="DW5" s="19">
        <v>43903</v>
      </c>
      <c r="DX5" s="19">
        <v>43910</v>
      </c>
      <c r="DY5" s="19">
        <v>43917</v>
      </c>
      <c r="DZ5" s="19">
        <v>43921</v>
      </c>
      <c r="EA5" s="19">
        <v>43924</v>
      </c>
      <c r="EB5" s="19">
        <v>43930</v>
      </c>
      <c r="EC5" s="19">
        <v>43938</v>
      </c>
      <c r="ED5" s="19">
        <v>43945</v>
      </c>
      <c r="EE5" s="19">
        <v>43951</v>
      </c>
      <c r="EF5" s="19">
        <v>43959</v>
      </c>
      <c r="EG5" s="19">
        <v>43966</v>
      </c>
      <c r="EH5" s="19">
        <v>43973</v>
      </c>
      <c r="EI5" s="19">
        <v>43980</v>
      </c>
      <c r="EJ5" s="19">
        <v>43982</v>
      </c>
      <c r="EK5" s="19">
        <v>43987</v>
      </c>
      <c r="EL5" s="19">
        <v>43994</v>
      </c>
      <c r="EM5" s="19">
        <v>44001</v>
      </c>
      <c r="EN5" s="19">
        <v>44008</v>
      </c>
      <c r="EO5" s="19">
        <v>44012</v>
      </c>
      <c r="EP5" s="19">
        <v>44015</v>
      </c>
      <c r="EQ5" s="19">
        <v>44022</v>
      </c>
      <c r="ER5" s="19">
        <v>44029</v>
      </c>
      <c r="ES5" s="19">
        <v>44036</v>
      </c>
      <c r="ET5" s="19">
        <v>44043</v>
      </c>
      <c r="EU5" s="19">
        <v>44050</v>
      </c>
      <c r="EV5" s="19">
        <v>44057</v>
      </c>
      <c r="EW5" s="19">
        <v>44064</v>
      </c>
      <c r="EX5" s="19">
        <v>44071</v>
      </c>
      <c r="EY5" s="19">
        <v>44074</v>
      </c>
      <c r="EZ5" s="19">
        <v>44078</v>
      </c>
      <c r="FA5" s="19">
        <v>44085</v>
      </c>
      <c r="FB5" s="19">
        <v>44092</v>
      </c>
      <c r="FC5" s="19">
        <v>44099</v>
      </c>
      <c r="FD5" s="19">
        <v>44104</v>
      </c>
      <c r="FE5" s="19">
        <v>44112</v>
      </c>
      <c r="FF5" s="19">
        <v>44120</v>
      </c>
      <c r="FG5" s="19">
        <v>44127</v>
      </c>
      <c r="FH5" s="19">
        <v>44134</v>
      </c>
      <c r="FI5" s="19">
        <v>44135</v>
      </c>
      <c r="FJ5" s="19">
        <v>44141</v>
      </c>
      <c r="FK5" s="19">
        <v>44148</v>
      </c>
      <c r="FL5" s="19">
        <v>44155</v>
      </c>
      <c r="FM5" s="19">
        <v>44162</v>
      </c>
      <c r="FN5" s="19">
        <v>44165</v>
      </c>
      <c r="FO5" s="19">
        <v>44169</v>
      </c>
      <c r="FP5" s="19">
        <v>44176</v>
      </c>
      <c r="FQ5" s="19">
        <v>44183</v>
      </c>
      <c r="FR5" s="19">
        <v>44189</v>
      </c>
      <c r="FS5" s="19">
        <v>44196</v>
      </c>
      <c r="FT5" s="19">
        <v>44204</v>
      </c>
      <c r="FU5" s="19">
        <v>44211</v>
      </c>
      <c r="FV5" s="19">
        <v>44218</v>
      </c>
      <c r="FW5" s="19">
        <v>44225</v>
      </c>
      <c r="FX5" s="19">
        <v>44227</v>
      </c>
      <c r="FY5" s="19">
        <v>44232</v>
      </c>
      <c r="FZ5" s="19">
        <v>44239</v>
      </c>
      <c r="GA5" s="19">
        <v>44246</v>
      </c>
      <c r="GB5" s="19">
        <v>44253</v>
      </c>
      <c r="GC5" s="19">
        <v>44255</v>
      </c>
      <c r="GD5" s="19">
        <v>44260</v>
      </c>
      <c r="GE5" s="19">
        <v>44267</v>
      </c>
      <c r="GF5" s="19">
        <v>44274</v>
      </c>
      <c r="GG5" s="19">
        <v>44281</v>
      </c>
      <c r="GH5" s="19">
        <v>44287</v>
      </c>
      <c r="GI5" s="19">
        <v>44295</v>
      </c>
      <c r="GJ5" s="19">
        <v>44302</v>
      </c>
      <c r="GK5" s="19">
        <v>44309</v>
      </c>
      <c r="GL5" s="19">
        <v>44315</v>
      </c>
      <c r="GM5" s="19">
        <v>44316</v>
      </c>
      <c r="GN5" s="19">
        <v>44323</v>
      </c>
      <c r="GO5" s="19">
        <v>44330</v>
      </c>
      <c r="GP5" s="19">
        <v>44337</v>
      </c>
      <c r="GQ5" s="19">
        <v>44344</v>
      </c>
      <c r="GR5" s="19">
        <v>44347</v>
      </c>
      <c r="GS5" s="19">
        <v>44351</v>
      </c>
      <c r="GT5" s="19">
        <v>44358</v>
      </c>
      <c r="GU5" s="19">
        <v>44365</v>
      </c>
      <c r="GV5" s="19">
        <v>44372</v>
      </c>
      <c r="GW5" s="19">
        <v>44377</v>
      </c>
      <c r="GX5" s="19">
        <v>44379</v>
      </c>
      <c r="GY5" s="19">
        <v>44386</v>
      </c>
      <c r="GZ5" s="19">
        <v>44393</v>
      </c>
      <c r="HA5" s="19">
        <v>44400</v>
      </c>
      <c r="HB5" s="19">
        <v>44407</v>
      </c>
      <c r="HC5" s="19">
        <v>44408</v>
      </c>
      <c r="HD5" s="19">
        <v>44414</v>
      </c>
      <c r="HE5" s="19">
        <v>44421</v>
      </c>
      <c r="HF5" s="19">
        <v>44428</v>
      </c>
      <c r="HG5" s="19">
        <v>44435</v>
      </c>
      <c r="HH5" s="19">
        <v>44439</v>
      </c>
      <c r="HI5" s="19">
        <v>44442</v>
      </c>
      <c r="HJ5" s="19">
        <v>44449</v>
      </c>
      <c r="HK5" s="19">
        <v>44456</v>
      </c>
      <c r="HL5" s="19">
        <v>44463</v>
      </c>
      <c r="HM5" s="19">
        <v>44469</v>
      </c>
      <c r="HN5" s="19">
        <v>44470</v>
      </c>
      <c r="HO5" s="19">
        <v>44476</v>
      </c>
      <c r="HP5" s="19">
        <v>44484</v>
      </c>
      <c r="HQ5" s="19">
        <v>44491</v>
      </c>
      <c r="HR5" s="19">
        <v>44498</v>
      </c>
      <c r="HS5" s="19">
        <v>44500</v>
      </c>
      <c r="HT5" s="19">
        <v>44505</v>
      </c>
      <c r="HU5" s="19">
        <v>44512</v>
      </c>
      <c r="HV5" s="19">
        <v>44519</v>
      </c>
      <c r="HW5" s="19">
        <v>44526</v>
      </c>
      <c r="HX5" s="19">
        <v>44530</v>
      </c>
      <c r="HY5" s="19">
        <v>44533</v>
      </c>
      <c r="HZ5" s="19">
        <v>44540</v>
      </c>
      <c r="IA5" s="19">
        <v>44547</v>
      </c>
      <c r="IB5" s="19">
        <v>44553</v>
      </c>
      <c r="IC5" s="19">
        <v>44560</v>
      </c>
      <c r="ID5" s="19">
        <v>44561</v>
      </c>
      <c r="IE5" s="19">
        <v>44568</v>
      </c>
      <c r="IF5" s="19">
        <v>44575</v>
      </c>
      <c r="IG5" s="19">
        <v>44582</v>
      </c>
      <c r="IH5" s="19">
        <v>44589</v>
      </c>
      <c r="II5" s="19">
        <v>44592</v>
      </c>
      <c r="IJ5" s="19">
        <v>44596</v>
      </c>
      <c r="IK5" s="19">
        <v>44603</v>
      </c>
      <c r="IL5" s="19">
        <v>44610</v>
      </c>
      <c r="IM5" s="19">
        <v>44617</v>
      </c>
      <c r="IN5" s="19">
        <v>44620</v>
      </c>
      <c r="IO5" s="19">
        <v>44624</v>
      </c>
      <c r="IP5" s="19">
        <v>44631</v>
      </c>
      <c r="IQ5" s="19">
        <v>44638</v>
      </c>
      <c r="IR5" s="19">
        <v>44645</v>
      </c>
      <c r="IS5" s="19">
        <v>44651</v>
      </c>
      <c r="IT5" s="19">
        <v>44652</v>
      </c>
      <c r="IU5" s="19">
        <v>44659</v>
      </c>
      <c r="IV5" s="19">
        <v>44665</v>
      </c>
      <c r="IW5" s="19">
        <v>44673</v>
      </c>
      <c r="IX5" s="19">
        <v>44680</v>
      </c>
      <c r="IY5" s="19">
        <v>44681</v>
      </c>
      <c r="IZ5" s="19">
        <v>44687</v>
      </c>
      <c r="JA5" s="19">
        <v>44694</v>
      </c>
      <c r="JB5" s="19">
        <v>44701</v>
      </c>
      <c r="JC5" s="19">
        <v>44708</v>
      </c>
      <c r="JD5" s="19">
        <v>44712</v>
      </c>
      <c r="JE5" s="19">
        <v>44715</v>
      </c>
      <c r="JF5" s="19">
        <v>44722</v>
      </c>
      <c r="JG5" s="19">
        <v>44729</v>
      </c>
      <c r="JH5" s="19">
        <v>44736</v>
      </c>
      <c r="JI5" s="19">
        <v>44742</v>
      </c>
      <c r="JJ5" s="19">
        <v>44743</v>
      </c>
      <c r="JK5" s="19">
        <v>44750</v>
      </c>
      <c r="JL5" s="19">
        <v>44757</v>
      </c>
      <c r="JM5" s="19">
        <v>44764</v>
      </c>
      <c r="JN5" s="19">
        <v>44771</v>
      </c>
      <c r="JO5" s="19">
        <v>44773</v>
      </c>
      <c r="JP5" s="19">
        <v>44778</v>
      </c>
      <c r="JQ5" s="19">
        <v>44784</v>
      </c>
      <c r="JR5" s="19">
        <v>44792</v>
      </c>
      <c r="JS5" s="19">
        <v>44799</v>
      </c>
      <c r="JT5" s="19">
        <v>44804</v>
      </c>
      <c r="JU5" s="19">
        <v>44806</v>
      </c>
      <c r="JV5" s="19">
        <v>44813</v>
      </c>
      <c r="JW5" s="19">
        <v>44820</v>
      </c>
      <c r="JX5" s="19">
        <v>44827</v>
      </c>
      <c r="JY5" s="19">
        <v>44834</v>
      </c>
      <c r="JZ5" s="19">
        <v>44841</v>
      </c>
      <c r="KA5" s="19">
        <v>44848</v>
      </c>
      <c r="KB5" s="19">
        <v>44855</v>
      </c>
      <c r="KC5" s="19">
        <v>44862</v>
      </c>
      <c r="KD5" s="19">
        <v>44865</v>
      </c>
      <c r="KE5" s="19">
        <v>44867</v>
      </c>
      <c r="KF5" s="19">
        <v>44876</v>
      </c>
      <c r="KG5" s="19">
        <v>44883</v>
      </c>
      <c r="KH5" s="19">
        <v>44890</v>
      </c>
      <c r="KI5" s="19">
        <v>44895</v>
      </c>
      <c r="KJ5" s="19">
        <v>44897</v>
      </c>
      <c r="KK5" s="19">
        <v>44904</v>
      </c>
      <c r="KL5" s="19">
        <v>44911</v>
      </c>
      <c r="KM5" s="19">
        <v>44918</v>
      </c>
      <c r="KN5" s="19">
        <v>44925</v>
      </c>
      <c r="KO5" s="19">
        <v>44926</v>
      </c>
      <c r="KP5" s="19">
        <v>44932</v>
      </c>
      <c r="KQ5" s="19">
        <v>44939</v>
      </c>
      <c r="KR5" s="19">
        <v>44946</v>
      </c>
      <c r="KS5" s="19">
        <v>44953</v>
      </c>
      <c r="KT5" s="19">
        <v>44957</v>
      </c>
      <c r="KU5" s="19">
        <v>44960</v>
      </c>
      <c r="KV5" s="19">
        <v>44967</v>
      </c>
      <c r="KW5" s="19">
        <v>44974</v>
      </c>
      <c r="KX5" s="19">
        <v>44981</v>
      </c>
      <c r="KY5" s="19">
        <v>44985</v>
      </c>
      <c r="KZ5" s="19">
        <v>44988</v>
      </c>
      <c r="LA5" s="19">
        <v>44995</v>
      </c>
      <c r="LB5" s="19">
        <v>45002</v>
      </c>
      <c r="LC5" s="19">
        <v>45009</v>
      </c>
      <c r="LD5" s="19">
        <v>45016</v>
      </c>
      <c r="LE5" s="19">
        <v>45022</v>
      </c>
      <c r="LF5" s="19">
        <v>45030</v>
      </c>
      <c r="LG5" s="19">
        <v>45037</v>
      </c>
      <c r="LH5" s="19">
        <v>45044</v>
      </c>
      <c r="LI5" s="19">
        <v>45046</v>
      </c>
      <c r="LJ5" s="19">
        <v>45051</v>
      </c>
      <c r="LK5" s="19">
        <v>45058</v>
      </c>
      <c r="LL5" s="19">
        <v>45065</v>
      </c>
      <c r="LM5" s="19">
        <v>45071</v>
      </c>
      <c r="LN5" s="19">
        <v>45077</v>
      </c>
      <c r="LO5" s="19">
        <v>45079</v>
      </c>
      <c r="LP5" s="19">
        <v>45086</v>
      </c>
      <c r="LQ5" s="19">
        <v>45093</v>
      </c>
      <c r="LR5" s="19">
        <v>45100</v>
      </c>
      <c r="LS5" s="19">
        <v>45107</v>
      </c>
      <c r="LT5" s="19">
        <v>45114</v>
      </c>
      <c r="LU5" s="19">
        <v>45121</v>
      </c>
      <c r="LV5" s="19">
        <v>45128</v>
      </c>
      <c r="LW5" s="19">
        <v>45135</v>
      </c>
      <c r="LX5" s="19">
        <v>45138</v>
      </c>
      <c r="LY5" s="19">
        <v>45142</v>
      </c>
      <c r="LZ5" s="19">
        <v>45148</v>
      </c>
      <c r="MA5" s="19">
        <v>45156</v>
      </c>
      <c r="MB5" s="19">
        <v>45163</v>
      </c>
      <c r="MC5" s="19">
        <v>45169</v>
      </c>
      <c r="MD5" s="19">
        <v>45170</v>
      </c>
      <c r="ME5" s="19">
        <v>45177</v>
      </c>
      <c r="MF5" s="19">
        <v>45184</v>
      </c>
      <c r="MG5" s="19">
        <v>45191</v>
      </c>
      <c r="MH5" s="19">
        <v>45198</v>
      </c>
      <c r="MI5" s="19">
        <v>45199</v>
      </c>
      <c r="MJ5" s="19">
        <v>45205</v>
      </c>
      <c r="MK5" s="19">
        <v>45212</v>
      </c>
      <c r="ML5" s="19">
        <v>45219</v>
      </c>
      <c r="MM5" s="19">
        <v>45226</v>
      </c>
      <c r="MN5" s="19">
        <v>45230</v>
      </c>
      <c r="MO5" s="19">
        <v>45231</v>
      </c>
      <c r="MP5" s="19">
        <v>45240</v>
      </c>
      <c r="MQ5" s="19">
        <v>45247</v>
      </c>
      <c r="MR5" s="19">
        <v>45254</v>
      </c>
      <c r="MS5" s="19">
        <v>45260</v>
      </c>
      <c r="MT5" s="19">
        <v>45261</v>
      </c>
      <c r="MU5" s="19">
        <v>45268</v>
      </c>
      <c r="MV5" s="19">
        <v>45275</v>
      </c>
      <c r="MW5" s="19">
        <v>45282</v>
      </c>
      <c r="MX5" s="19">
        <v>45289</v>
      </c>
      <c r="MY5" s="19">
        <v>45291</v>
      </c>
      <c r="MZ5" s="19">
        <v>45296</v>
      </c>
      <c r="NA5" s="19">
        <v>45303</v>
      </c>
      <c r="NB5" s="19">
        <v>45310</v>
      </c>
      <c r="NC5" s="19">
        <v>45317</v>
      </c>
      <c r="ND5" s="19">
        <v>45322</v>
      </c>
      <c r="NE5" s="19">
        <v>45331</v>
      </c>
      <c r="NF5" s="19">
        <v>45338</v>
      </c>
      <c r="NG5" s="19">
        <v>45345</v>
      </c>
      <c r="NH5" s="19">
        <v>45351</v>
      </c>
      <c r="NI5" s="19">
        <v>45359</v>
      </c>
      <c r="NJ5" s="19">
        <v>45366</v>
      </c>
      <c r="NK5" s="19">
        <v>45373</v>
      </c>
      <c r="NL5" s="19">
        <v>45379</v>
      </c>
      <c r="NM5" s="19">
        <v>45382</v>
      </c>
      <c r="NN5" s="19">
        <v>45387</v>
      </c>
      <c r="NO5" s="19">
        <v>45394</v>
      </c>
      <c r="NP5" s="19">
        <v>45401</v>
      </c>
      <c r="NQ5" s="19">
        <v>45408</v>
      </c>
      <c r="NR5" s="19">
        <v>45412</v>
      </c>
      <c r="NS5" s="19">
        <v>45422</v>
      </c>
      <c r="NT5" s="19">
        <v>45429</v>
      </c>
      <c r="NU5" s="19">
        <v>45435</v>
      </c>
      <c r="NV5" s="19">
        <v>45443</v>
      </c>
      <c r="NW5" s="19">
        <v>45450</v>
      </c>
      <c r="NX5" s="19">
        <v>45457</v>
      </c>
      <c r="NY5" s="19">
        <v>45464</v>
      </c>
      <c r="NZ5" s="19">
        <v>45471</v>
      </c>
      <c r="OA5" s="19">
        <v>45473</v>
      </c>
      <c r="OB5" s="19">
        <v>45478</v>
      </c>
      <c r="OC5" s="19">
        <v>45485</v>
      </c>
      <c r="OD5" s="19">
        <v>45492</v>
      </c>
      <c r="OE5" s="19">
        <v>45499</v>
      </c>
      <c r="OF5" s="19">
        <v>45504</v>
      </c>
      <c r="OG5" s="19">
        <v>45506</v>
      </c>
      <c r="OH5" s="19">
        <v>45512</v>
      </c>
      <c r="OI5" s="19">
        <v>45520</v>
      </c>
      <c r="OJ5" s="19">
        <v>45527</v>
      </c>
      <c r="OK5" s="19">
        <v>45535</v>
      </c>
      <c r="OL5" s="19">
        <v>45541</v>
      </c>
      <c r="OM5" s="19">
        <v>45548</v>
      </c>
      <c r="ON5" s="19">
        <v>45555</v>
      </c>
      <c r="OO5" s="19">
        <v>45562</v>
      </c>
      <c r="OP5" s="19">
        <v>45565</v>
      </c>
      <c r="OQ5" s="19">
        <v>45569</v>
      </c>
      <c r="OR5" s="19">
        <v>45575</v>
      </c>
      <c r="OS5" s="19">
        <v>45583</v>
      </c>
      <c r="OT5" s="19">
        <v>45590</v>
      </c>
      <c r="OU5" s="19">
        <v>45596</v>
      </c>
      <c r="OV5" s="19">
        <v>45604</v>
      </c>
      <c r="OW5" s="19">
        <v>45611</v>
      </c>
      <c r="OX5" s="19">
        <v>45618</v>
      </c>
      <c r="OY5" s="19">
        <v>45626</v>
      </c>
      <c r="OZ5" s="19">
        <v>45632</v>
      </c>
      <c r="PA5" s="19">
        <v>45639</v>
      </c>
      <c r="PB5" s="19">
        <v>45646</v>
      </c>
      <c r="PC5" s="19">
        <v>45653</v>
      </c>
      <c r="PD5" s="19">
        <v>45657</v>
      </c>
      <c r="PE5" s="19">
        <v>45667</v>
      </c>
      <c r="PF5" s="19">
        <v>45674</v>
      </c>
      <c r="PG5" s="19">
        <v>45681</v>
      </c>
      <c r="PH5" s="19">
        <v>45688</v>
      </c>
      <c r="PI5" s="19">
        <v>45695</v>
      </c>
      <c r="PJ5" s="19">
        <v>45702</v>
      </c>
      <c r="PK5" s="19">
        <v>45709</v>
      </c>
      <c r="PL5" s="19">
        <v>45716</v>
      </c>
      <c r="PM5" s="19">
        <v>45723</v>
      </c>
      <c r="PN5" s="19">
        <v>45730</v>
      </c>
      <c r="PO5" s="19">
        <v>45737</v>
      </c>
      <c r="PP5" s="19">
        <v>45744</v>
      </c>
      <c r="PQ5" s="19">
        <v>45747</v>
      </c>
      <c r="PR5" s="19">
        <v>45751</v>
      </c>
      <c r="PS5" s="19">
        <v>45758</v>
      </c>
      <c r="PT5" s="19">
        <v>45764</v>
      </c>
      <c r="PU5" s="19">
        <v>45772</v>
      </c>
      <c r="PV5" s="19">
        <v>45777</v>
      </c>
      <c r="PW5" s="19">
        <v>45778</v>
      </c>
      <c r="PX5" s="19">
        <v>45786</v>
      </c>
      <c r="PY5" s="19">
        <v>45793</v>
      </c>
      <c r="PZ5" s="19">
        <v>45799</v>
      </c>
      <c r="QA5" s="19">
        <v>45807</v>
      </c>
      <c r="QB5" s="19">
        <v>45808</v>
      </c>
      <c r="QC5" s="19">
        <v>45814</v>
      </c>
      <c r="QD5" s="19">
        <v>45821</v>
      </c>
      <c r="QE5" s="19">
        <v>45828</v>
      </c>
      <c r="QF5" s="19">
        <v>45835</v>
      </c>
      <c r="QG5" s="19">
        <v>45838</v>
      </c>
      <c r="QH5" s="19">
        <v>45842</v>
      </c>
      <c r="QI5" s="19">
        <v>45849</v>
      </c>
      <c r="QJ5" s="19">
        <v>45856</v>
      </c>
      <c r="QK5" s="19">
        <v>45863</v>
      </c>
      <c r="QL5" s="19">
        <v>45869</v>
      </c>
      <c r="QM5" s="19">
        <v>45870</v>
      </c>
      <c r="QN5" s="19">
        <v>45877</v>
      </c>
      <c r="QO5" s="19">
        <v>45884</v>
      </c>
      <c r="QP5" s="19">
        <v>45891</v>
      </c>
      <c r="QQ5" s="19">
        <v>45898</v>
      </c>
      <c r="QR5" s="19">
        <v>45900</v>
      </c>
      <c r="QS5" s="19">
        <v>45905</v>
      </c>
      <c r="QT5" s="19">
        <v>45912</v>
      </c>
      <c r="QU5" s="19">
        <v>45919</v>
      </c>
      <c r="QV5" s="19">
        <v>45926</v>
      </c>
      <c r="QW5" s="19">
        <v>45930</v>
      </c>
      <c r="QX5" s="19">
        <v>45933</v>
      </c>
      <c r="QY5" s="19">
        <v>45938</v>
      </c>
      <c r="QZ5" s="19">
        <v>45947</v>
      </c>
      <c r="RA5" s="19">
        <v>45954</v>
      </c>
      <c r="RB5" s="19">
        <v>45961</v>
      </c>
      <c r="RC5" s="19">
        <v>45968</v>
      </c>
      <c r="RD5" s="19">
        <v>45975</v>
      </c>
      <c r="RE5" s="19">
        <v>45982</v>
      </c>
      <c r="RF5" s="19">
        <v>45989</v>
      </c>
      <c r="RG5" s="19">
        <v>45991</v>
      </c>
      <c r="RH5" s="19">
        <v>45996</v>
      </c>
      <c r="RI5" s="19">
        <v>46003</v>
      </c>
      <c r="RJ5" s="19">
        <v>46010</v>
      </c>
      <c r="RK5" s="19">
        <v>46017</v>
      </c>
      <c r="RL5" s="19">
        <v>46022</v>
      </c>
      <c r="RM5" s="19">
        <v>46031</v>
      </c>
      <c r="RN5" s="19">
        <v>46038</v>
      </c>
      <c r="RO5" s="19">
        <v>46045</v>
      </c>
      <c r="RP5" s="19"/>
      <c r="RQ5" s="19"/>
      <c r="RR5" s="19"/>
      <c r="RS5" s="19"/>
      <c r="RT5" s="19"/>
      <c r="RU5" s="19"/>
      <c r="RV5" s="19"/>
      <c r="RW5" s="19"/>
      <c r="RX5" s="19"/>
      <c r="RY5" s="19"/>
      <c r="RZ5" s="19"/>
      <c r="SA5" s="19"/>
      <c r="SB5" s="19"/>
      <c r="SC5" s="19"/>
      <c r="SD5" s="19"/>
    </row>
    <row r="6" spans="1:498" x14ac:dyDescent="0.35">
      <c r="A6" s="16">
        <v>2</v>
      </c>
      <c r="DJ6" s="29"/>
      <c r="DK6" s="19"/>
    </row>
    <row r="7" spans="1:498" ht="12" x14ac:dyDescent="0.3">
      <c r="A7" s="16">
        <v>3</v>
      </c>
      <c r="B7" s="20" t="s">
        <v>118</v>
      </c>
      <c r="C7" s="24">
        <v>2846.489122</v>
      </c>
      <c r="D7" s="24">
        <v>2940.6722220000001</v>
      </c>
      <c r="E7" s="24">
        <v>2607.0662549999997</v>
      </c>
      <c r="F7" s="24">
        <v>3003.2352660000001</v>
      </c>
      <c r="G7" s="24">
        <v>3273.7211270000003</v>
      </c>
      <c r="H7" s="24">
        <v>3490.440697</v>
      </c>
      <c r="I7" s="24">
        <v>2978.0324300000002</v>
      </c>
      <c r="J7" s="24">
        <v>2814.7613190000002</v>
      </c>
      <c r="K7" s="24">
        <v>2364.5036449999998</v>
      </c>
      <c r="L7" s="24">
        <v>3193.6330699999999</v>
      </c>
      <c r="M7" s="24">
        <v>2473.4017039999999</v>
      </c>
      <c r="N7" s="24">
        <v>2216.2759040000001</v>
      </c>
      <c r="O7" s="24">
        <v>1387.28</v>
      </c>
      <c r="P7" s="24">
        <v>1677.0324949999999</v>
      </c>
      <c r="Q7" s="24">
        <v>2659.7272370000001</v>
      </c>
      <c r="R7" s="24">
        <v>2680.1426769999998</v>
      </c>
      <c r="S7" s="24">
        <v>2807.3985809999999</v>
      </c>
      <c r="T7" s="24">
        <v>2528.0348570000001</v>
      </c>
      <c r="U7" s="24">
        <v>2534.2052949999998</v>
      </c>
      <c r="V7" s="24">
        <v>2553.7338840000002</v>
      </c>
      <c r="W7" s="24">
        <v>2533.8160330000001</v>
      </c>
      <c r="X7" s="24">
        <v>2218.9159330000002</v>
      </c>
      <c r="Y7" s="24">
        <v>3023.7036799999996</v>
      </c>
      <c r="Z7" s="24">
        <v>2544.5177199999998</v>
      </c>
      <c r="AA7" s="24">
        <v>1597.572216</v>
      </c>
      <c r="AB7" s="24">
        <v>1823.969474</v>
      </c>
      <c r="AC7" s="24">
        <v>1812.012575</v>
      </c>
      <c r="AD7" s="24">
        <v>1895.2688360000002</v>
      </c>
      <c r="AE7" s="24">
        <v>2317.2481849999995</v>
      </c>
      <c r="AF7" s="24">
        <v>2534.8991069999997</v>
      </c>
      <c r="AG7" s="24">
        <v>2531.9591559999999</v>
      </c>
      <c r="AH7" s="24">
        <v>2602.2189539999999</v>
      </c>
      <c r="AI7" s="24">
        <v>2755.0435630000002</v>
      </c>
      <c r="AJ7" s="24">
        <v>3312.1394519999994</v>
      </c>
      <c r="AK7" s="24">
        <v>2509.0793709999998</v>
      </c>
      <c r="AL7" s="24">
        <v>1915.3376170000001</v>
      </c>
      <c r="AM7" s="24">
        <v>469.19647800000013</v>
      </c>
      <c r="AN7" s="24">
        <v>1037.0399090000001</v>
      </c>
      <c r="AO7" s="24">
        <v>2307.7077299999996</v>
      </c>
      <c r="AP7" s="24">
        <v>2354.4107560000002</v>
      </c>
      <c r="AQ7" s="24">
        <v>2945.152666</v>
      </c>
      <c r="AR7" s="24">
        <v>2469.174892</v>
      </c>
      <c r="AS7" s="24">
        <v>2181.722299</v>
      </c>
      <c r="AT7" s="24">
        <v>2452.9171489999999</v>
      </c>
      <c r="AU7" s="24">
        <v>3200.6730219999999</v>
      </c>
      <c r="AV7" s="24">
        <v>2949.4267520000003</v>
      </c>
      <c r="AW7" s="24">
        <v>2882.823308</v>
      </c>
      <c r="AX7" s="24">
        <v>2773.253044</v>
      </c>
      <c r="AY7" s="24">
        <v>3088.1958649999997</v>
      </c>
      <c r="AZ7" s="24">
        <v>3010.1586430000002</v>
      </c>
      <c r="BA7" s="24">
        <v>3066.2193870000001</v>
      </c>
      <c r="BB7" s="24">
        <v>2711.837207</v>
      </c>
      <c r="BC7" s="24">
        <v>2261.4799009999997</v>
      </c>
      <c r="BD7" s="24">
        <v>3285.8825930000003</v>
      </c>
      <c r="BE7" s="24">
        <v>5027.9309919999996</v>
      </c>
      <c r="BF7" s="24">
        <v>4953.9041110000007</v>
      </c>
      <c r="BG7" s="24">
        <v>5535.3978219999999</v>
      </c>
      <c r="BH7" s="24">
        <v>5351.3320349999995</v>
      </c>
      <c r="BI7" s="24">
        <v>6065.2378680000002</v>
      </c>
      <c r="BJ7" s="24">
        <v>5176.9630419999994</v>
      </c>
      <c r="BK7" s="24">
        <v>3237.411259</v>
      </c>
      <c r="BL7" s="24">
        <v>3082.943053</v>
      </c>
      <c r="BM7" s="24">
        <v>3149.604511</v>
      </c>
      <c r="BN7" s="24">
        <v>3072.544437</v>
      </c>
      <c r="BO7" s="24">
        <v>2816.078712</v>
      </c>
      <c r="BP7" s="24">
        <v>3929.9265970000001</v>
      </c>
      <c r="BQ7" s="24">
        <v>4120.1844110000002</v>
      </c>
      <c r="BR7" s="24">
        <v>4268.2161340000002</v>
      </c>
      <c r="BS7" s="24">
        <v>3672.7238710000001</v>
      </c>
      <c r="BT7" s="24">
        <v>2961.7155969999999</v>
      </c>
      <c r="BU7" s="24">
        <v>2711.3069070000001</v>
      </c>
      <c r="BV7" s="24">
        <v>2528.5994380000002</v>
      </c>
      <c r="BW7" s="24">
        <v>1884.5674440000003</v>
      </c>
      <c r="BX7" s="24">
        <v>2696.2195689999999</v>
      </c>
      <c r="BY7" s="24">
        <v>2773.5944420000001</v>
      </c>
      <c r="BZ7" s="24">
        <v>1998.7064829999999</v>
      </c>
      <c r="CA7" s="24">
        <v>1883.1825260000001</v>
      </c>
      <c r="CB7" s="24">
        <v>1572.9798500000002</v>
      </c>
      <c r="CC7" s="24">
        <v>2818.5940310000001</v>
      </c>
      <c r="CD7" s="24">
        <v>3699.281105</v>
      </c>
      <c r="CE7" s="24">
        <v>3577.0423129999999</v>
      </c>
      <c r="CF7" s="24">
        <v>3876.4272649999998</v>
      </c>
      <c r="CG7" s="24">
        <v>3690.795584</v>
      </c>
      <c r="CH7" s="24">
        <v>3347.7280430000001</v>
      </c>
      <c r="CI7" s="24">
        <v>3721.7575959999999</v>
      </c>
      <c r="CJ7" s="24">
        <v>4345.2670799999996</v>
      </c>
      <c r="CK7" s="24">
        <v>3628.4981589999998</v>
      </c>
      <c r="CL7" s="24">
        <v>2665.5567769999998</v>
      </c>
      <c r="CM7" s="24">
        <v>2069.019198</v>
      </c>
      <c r="CN7" s="24">
        <v>1618.9818190000001</v>
      </c>
      <c r="CO7" s="24">
        <v>3328.4240199999999</v>
      </c>
      <c r="CP7" s="24">
        <v>3083.2121079999997</v>
      </c>
      <c r="CQ7" s="24">
        <v>2434.7097309999999</v>
      </c>
      <c r="CR7" s="24">
        <v>1167.1260380000001</v>
      </c>
      <c r="CS7" s="24">
        <v>3999.6805409999997</v>
      </c>
      <c r="CT7" s="24">
        <v>3211.0136090000001</v>
      </c>
      <c r="CU7" s="24">
        <v>1622.2815309999999</v>
      </c>
      <c r="CV7" s="24">
        <v>4845.2767749999994</v>
      </c>
      <c r="CW7" s="24">
        <v>4560.910766</v>
      </c>
      <c r="CX7" s="24">
        <v>4012.7730229999997</v>
      </c>
      <c r="CY7" s="24">
        <v>3403.0251440000002</v>
      </c>
      <c r="CZ7" s="24">
        <v>2900.0832380000002</v>
      </c>
      <c r="DA7" s="24">
        <v>2340.7923529999998</v>
      </c>
      <c r="DB7" s="24">
        <v>2309.5804390000003</v>
      </c>
      <c r="DC7" s="24">
        <v>2231.329385</v>
      </c>
      <c r="DD7" s="24">
        <v>1865.46588</v>
      </c>
      <c r="DE7" s="24">
        <v>1879.552197</v>
      </c>
      <c r="DF7" s="24">
        <v>1522.2741619999999</v>
      </c>
      <c r="DG7" s="24">
        <v>2209.0244739999998</v>
      </c>
      <c r="DH7" s="24">
        <v>2706.3619779999999</v>
      </c>
      <c r="DI7" s="24">
        <v>2353.2978469999998</v>
      </c>
      <c r="DJ7" s="30">
        <v>3051.2671909999999</v>
      </c>
      <c r="DK7" s="30">
        <v>2565.0028220000004</v>
      </c>
      <c r="DL7" s="30">
        <v>3149.8139650000003</v>
      </c>
      <c r="DM7" s="30">
        <v>3091.7774709999999</v>
      </c>
      <c r="DN7" s="30">
        <v>2748.7428609999997</v>
      </c>
      <c r="DO7" s="30">
        <v>2735.4295189999998</v>
      </c>
      <c r="DP7" s="30">
        <v>4077.0341370000001</v>
      </c>
      <c r="DQ7" s="30">
        <v>3015.9634690000003</v>
      </c>
      <c r="DR7" s="30">
        <v>2128.6011509999998</v>
      </c>
      <c r="DS7" s="30">
        <v>2274.1794599999998</v>
      </c>
      <c r="DT7" s="30">
        <v>2382.8789870000001</v>
      </c>
      <c r="DU7" s="30">
        <v>2071.6359790000001</v>
      </c>
      <c r="DV7" s="30">
        <v>1818.211871</v>
      </c>
      <c r="DW7" s="30">
        <v>1787.9213539999998</v>
      </c>
      <c r="DX7" s="30">
        <v>1346.7913999999996</v>
      </c>
      <c r="DY7" s="30">
        <v>1353.425739</v>
      </c>
      <c r="DZ7" s="30">
        <v>1169.4931019999999</v>
      </c>
      <c r="EA7" s="30">
        <v>1365.105986</v>
      </c>
      <c r="EB7" s="30">
        <v>1443.3240539999999</v>
      </c>
      <c r="EC7" s="30">
        <v>2020.0947370000001</v>
      </c>
      <c r="ED7" s="30">
        <v>1633.567628</v>
      </c>
      <c r="EE7" s="30">
        <v>1587.5961889999999</v>
      </c>
      <c r="EF7" s="30">
        <v>2259.0358070000002</v>
      </c>
      <c r="EG7" s="30">
        <v>2694.915442</v>
      </c>
      <c r="EH7" s="30">
        <v>2252.098528</v>
      </c>
      <c r="EI7" s="30">
        <v>2113.1425410000002</v>
      </c>
      <c r="EJ7" s="30">
        <v>2113.1425410000002</v>
      </c>
      <c r="EK7" s="30">
        <v>1728.853987</v>
      </c>
      <c r="EL7" s="30">
        <v>1657.6109589999999</v>
      </c>
      <c r="EM7" s="30">
        <v>1949.6776240000002</v>
      </c>
      <c r="EN7" s="30">
        <v>1277.1276770000002</v>
      </c>
      <c r="EO7" s="30">
        <v>1242.2388940000001</v>
      </c>
      <c r="EP7" s="30">
        <v>1284.3168169999999</v>
      </c>
      <c r="EQ7" s="30">
        <v>1209.3784099999998</v>
      </c>
      <c r="ER7" s="30">
        <v>1446.9784979999999</v>
      </c>
      <c r="ES7" s="30">
        <v>1300.9577119999999</v>
      </c>
      <c r="ET7" s="30">
        <v>1454.1120169999999</v>
      </c>
      <c r="EU7" s="30">
        <v>1189.392167</v>
      </c>
      <c r="EV7" s="30">
        <v>1547.341713</v>
      </c>
      <c r="EW7" s="30">
        <v>1469.1642200000001</v>
      </c>
      <c r="EX7" s="30">
        <v>1608.715987</v>
      </c>
      <c r="EY7" s="30">
        <v>1682.618665</v>
      </c>
      <c r="EZ7" s="30">
        <v>1860.1729499999999</v>
      </c>
      <c r="FA7" s="30">
        <v>1953.3941880000002</v>
      </c>
      <c r="FB7" s="30">
        <v>1641.5566429999999</v>
      </c>
      <c r="FC7" s="30">
        <v>1672.2787159999998</v>
      </c>
      <c r="FD7" s="30">
        <v>1449.936314</v>
      </c>
      <c r="FE7" s="30">
        <v>3206.5620880000001</v>
      </c>
      <c r="FF7" s="30">
        <v>3537.4738030000003</v>
      </c>
      <c r="FG7" s="30">
        <v>3615.9909459999999</v>
      </c>
      <c r="FH7" s="30">
        <v>3528.4033890000001</v>
      </c>
      <c r="FI7" s="30">
        <v>3528.4033890000001</v>
      </c>
      <c r="FJ7" s="30">
        <v>3476.0150589999998</v>
      </c>
      <c r="FK7" s="30">
        <v>3654.821469</v>
      </c>
      <c r="FL7" s="30">
        <v>3464.4961929999999</v>
      </c>
      <c r="FM7" s="30">
        <v>3271.0249309999999</v>
      </c>
      <c r="FN7" s="30">
        <v>3201.7721380000003</v>
      </c>
      <c r="FO7" s="30">
        <v>3508.0028910000001</v>
      </c>
      <c r="FP7" s="30">
        <v>3599.6560249999998</v>
      </c>
      <c r="FQ7" s="30">
        <v>3510.8385210000001</v>
      </c>
      <c r="FR7" s="30">
        <v>5368.0997630000002</v>
      </c>
      <c r="FS7" s="30">
        <v>5162.3019160000003</v>
      </c>
      <c r="FT7" s="30">
        <v>5237.9625689999993</v>
      </c>
      <c r="FU7" s="30">
        <v>5132.5966009999993</v>
      </c>
      <c r="FV7" s="30">
        <v>4964.0909689999999</v>
      </c>
      <c r="FW7" s="30">
        <v>4643.9935669999995</v>
      </c>
      <c r="FX7" s="30">
        <v>4643.9935669999995</v>
      </c>
      <c r="FY7" s="30">
        <v>4516.9267760000002</v>
      </c>
      <c r="FZ7" s="30">
        <v>4460.7742239999998</v>
      </c>
      <c r="GA7" s="30">
        <v>4275.720945</v>
      </c>
      <c r="GB7" s="30">
        <v>3996.8047309999997</v>
      </c>
      <c r="GC7" s="30">
        <v>3996.8047309999997</v>
      </c>
      <c r="GD7" s="30">
        <v>3803.3572530000001</v>
      </c>
      <c r="GE7" s="30">
        <v>4034.0927410000004</v>
      </c>
      <c r="GF7" s="30">
        <v>4051.2811030000003</v>
      </c>
      <c r="GG7" s="30">
        <v>3969.8395829999999</v>
      </c>
      <c r="GH7" s="30">
        <v>4029.2008329999999</v>
      </c>
      <c r="GI7" s="30">
        <v>3647.3057629999998</v>
      </c>
      <c r="GJ7" s="30">
        <v>3988.2336640000003</v>
      </c>
      <c r="GK7" s="30">
        <v>4088.7983980000004</v>
      </c>
      <c r="GL7" s="30">
        <v>3935.6938660000001</v>
      </c>
      <c r="GM7" s="30">
        <v>3935.6938660000001</v>
      </c>
      <c r="GN7" s="30">
        <v>3819.541491</v>
      </c>
      <c r="GO7" s="30">
        <v>4165.1913420000001</v>
      </c>
      <c r="GP7" s="30">
        <v>4239.9032909999996</v>
      </c>
      <c r="GQ7" s="30">
        <v>3979.2995890000002</v>
      </c>
      <c r="GR7" s="30">
        <v>3970.2546660000003</v>
      </c>
      <c r="GS7" s="30">
        <v>3984.4186679999998</v>
      </c>
      <c r="GT7" s="30">
        <v>4304.0206049999997</v>
      </c>
      <c r="GU7" s="30">
        <v>4521.2955000000002</v>
      </c>
      <c r="GV7" s="30">
        <v>4447.8624839999993</v>
      </c>
      <c r="GW7" s="21">
        <v>4227.723266</v>
      </c>
      <c r="GX7" s="21">
        <v>4056.4614470000001</v>
      </c>
      <c r="GY7" s="21">
        <v>3966.2280470000001</v>
      </c>
      <c r="GZ7" s="21">
        <v>4051.5300100000004</v>
      </c>
      <c r="HA7" s="21">
        <v>3708.7215059999999</v>
      </c>
      <c r="HB7" s="21">
        <v>3482.6249079999998</v>
      </c>
      <c r="HC7" s="21">
        <v>3482.6249079999998</v>
      </c>
      <c r="HD7" s="21">
        <v>3079.7325040000001</v>
      </c>
      <c r="HE7" s="21">
        <v>3384.9850779999997</v>
      </c>
      <c r="HF7" s="21">
        <v>3422.4223199999997</v>
      </c>
      <c r="HG7" s="21">
        <v>3158.7197240000005</v>
      </c>
      <c r="HH7" s="21">
        <v>3046.844329</v>
      </c>
      <c r="HI7" s="21">
        <v>3567.594396</v>
      </c>
      <c r="HJ7" s="21">
        <v>4701.0088690000002</v>
      </c>
      <c r="HK7" s="21">
        <v>4652.589911</v>
      </c>
      <c r="HL7" s="21">
        <v>4539.6553560000002</v>
      </c>
      <c r="HM7" s="21">
        <v>4494.3959009999999</v>
      </c>
      <c r="HN7" s="21">
        <v>5078.8374629999998</v>
      </c>
      <c r="HO7" s="21">
        <v>5098.4720360000001</v>
      </c>
      <c r="HP7" s="21">
        <v>5196.6141129999996</v>
      </c>
      <c r="HQ7" s="21">
        <v>5339.2000549999993</v>
      </c>
      <c r="HR7" s="21">
        <v>5669.9803620000002</v>
      </c>
      <c r="HS7" s="21">
        <v>5669.9803620000002</v>
      </c>
      <c r="HT7" s="21">
        <v>5573.0985000000001</v>
      </c>
      <c r="HU7" s="21">
        <v>6013.7037410000003</v>
      </c>
      <c r="HV7" s="21">
        <v>6368.8940149999999</v>
      </c>
      <c r="HW7" s="21">
        <v>5991.0122799999999</v>
      </c>
      <c r="HX7" s="21">
        <v>5690.4305359999998</v>
      </c>
      <c r="HY7" s="21">
        <v>5500.9629320000004</v>
      </c>
      <c r="HZ7" s="21">
        <v>5818.2506860000003</v>
      </c>
      <c r="IA7" s="21">
        <v>6236.1726360000002</v>
      </c>
      <c r="IB7" s="21">
        <v>6370.8170150000005</v>
      </c>
      <c r="IC7" s="21">
        <v>6021.9221710000002</v>
      </c>
      <c r="ID7" s="21">
        <v>6021.9300670000002</v>
      </c>
      <c r="IE7" s="21">
        <v>6351.5777270000008</v>
      </c>
      <c r="IF7" s="21">
        <v>6734.2813010000009</v>
      </c>
      <c r="IG7" s="21">
        <v>6404.7251409999999</v>
      </c>
      <c r="IH7" s="21">
        <v>6029.5542289999994</v>
      </c>
      <c r="II7" s="21">
        <v>6078.4237039999998</v>
      </c>
      <c r="IJ7" s="21">
        <v>6041.1973910000006</v>
      </c>
      <c r="IK7" s="21">
        <v>6507.1638239999993</v>
      </c>
      <c r="IL7" s="21">
        <v>6357.1891390000001</v>
      </c>
      <c r="IM7" s="21">
        <v>6092.0480459999999</v>
      </c>
      <c r="IN7" s="21">
        <v>6092.0480459999999</v>
      </c>
      <c r="IO7" s="21">
        <v>6814.6255000000001</v>
      </c>
      <c r="IP7" s="21">
        <v>7310.3704299999999</v>
      </c>
      <c r="IQ7" s="21">
        <v>6973.6885039999997</v>
      </c>
      <c r="IR7" s="21">
        <v>7031.7951689999991</v>
      </c>
      <c r="IS7" s="21">
        <v>7056.8826710000003</v>
      </c>
      <c r="IT7" s="21">
        <v>7080.6177059999991</v>
      </c>
      <c r="IU7" s="21">
        <v>6710.7286119999999</v>
      </c>
      <c r="IV7" s="21">
        <v>6933.7682229999991</v>
      </c>
      <c r="IW7" s="21">
        <v>6597.7527740000005</v>
      </c>
      <c r="IX7" s="21">
        <v>6290.1704840000002</v>
      </c>
      <c r="IY7" s="21">
        <v>6290.1704840000002</v>
      </c>
      <c r="IZ7" s="21">
        <v>6207.958885</v>
      </c>
      <c r="JA7" s="21">
        <v>6401.5277800000003</v>
      </c>
      <c r="JB7" s="21">
        <v>6419.2186550000006</v>
      </c>
      <c r="JC7" s="21">
        <v>6404.4102800000001</v>
      </c>
      <c r="JD7" s="21">
        <v>6129.8635359999998</v>
      </c>
      <c r="JE7" s="21">
        <v>5863.5630940000001</v>
      </c>
      <c r="JF7" s="21">
        <v>6381.3393509999996</v>
      </c>
      <c r="JG7" s="21">
        <v>6422.6196030000001</v>
      </c>
      <c r="JH7" s="21">
        <v>5885.9958889999998</v>
      </c>
      <c r="JI7" s="21">
        <v>6557.9962850000002</v>
      </c>
      <c r="JJ7" s="21">
        <v>6846.1700869999995</v>
      </c>
      <c r="JK7" s="21">
        <v>6899.4816359999995</v>
      </c>
      <c r="JL7" s="21">
        <v>7478.7217779999992</v>
      </c>
      <c r="JM7" s="21">
        <v>7467.0148819999995</v>
      </c>
      <c r="JN7" s="21">
        <v>7004.6450240000004</v>
      </c>
      <c r="JO7" s="21">
        <v>7004.6450240000004</v>
      </c>
      <c r="JP7" s="21">
        <v>6780.698965999999</v>
      </c>
      <c r="JQ7" s="21">
        <v>7395.7029700000003</v>
      </c>
      <c r="JR7" s="21">
        <v>7334.0023380000002</v>
      </c>
      <c r="JS7" s="21">
        <v>7462.1845730000005</v>
      </c>
      <c r="JT7" s="21">
        <v>7099.8779100000002</v>
      </c>
      <c r="JU7" s="21">
        <v>7090.0937180000001</v>
      </c>
      <c r="JV7" s="21">
        <v>6573.2983860000004</v>
      </c>
      <c r="JW7" s="21">
        <v>6923.7257389999995</v>
      </c>
      <c r="JX7" s="21">
        <v>6886.6136440000009</v>
      </c>
      <c r="JY7" s="21">
        <v>6519.7691009999999</v>
      </c>
      <c r="JZ7" s="21">
        <v>6511.3204310000001</v>
      </c>
      <c r="KA7" s="21">
        <v>6583.8664880000006</v>
      </c>
      <c r="KB7" s="21">
        <v>6700.6103410000005</v>
      </c>
      <c r="KC7" s="21">
        <v>5803.767836</v>
      </c>
      <c r="KD7" s="21">
        <v>5837.4219819999998</v>
      </c>
      <c r="KE7" s="21">
        <v>5862.8105749999995</v>
      </c>
      <c r="KF7" s="21">
        <v>6401.8469300000006</v>
      </c>
      <c r="KG7" s="21">
        <v>6526.3213490000007</v>
      </c>
      <c r="KH7" s="21">
        <v>6041.5439560000004</v>
      </c>
      <c r="KI7" s="21">
        <v>5589.9466336699998</v>
      </c>
      <c r="KJ7" s="21">
        <v>5492.4301118900003</v>
      </c>
      <c r="KK7" s="21">
        <v>5493.7908743199996</v>
      </c>
      <c r="KL7" s="21">
        <v>6399.8971586500002</v>
      </c>
      <c r="KM7" s="21">
        <v>6781.5792154700002</v>
      </c>
      <c r="KN7" s="21">
        <v>6450.5781163800002</v>
      </c>
      <c r="KO7" s="21">
        <v>6450.5781163800002</v>
      </c>
      <c r="KP7" s="21">
        <v>6304.0667392400001</v>
      </c>
      <c r="KQ7" s="21">
        <v>6932.3969828400004</v>
      </c>
      <c r="KR7" s="21">
        <v>7224.0510697199998</v>
      </c>
      <c r="KS7" s="21">
        <v>6447.6696068900001</v>
      </c>
      <c r="KT7" s="21">
        <v>6112.4170235399997</v>
      </c>
      <c r="KU7" s="21">
        <v>6003.4878706300005</v>
      </c>
      <c r="KV7" s="21">
        <v>6109.4297940500001</v>
      </c>
      <c r="KW7" s="21">
        <v>5764.6034276499995</v>
      </c>
      <c r="KX7" s="21">
        <v>5817.92354153</v>
      </c>
      <c r="KY7" s="21">
        <v>5864.8624050400003</v>
      </c>
      <c r="KZ7" s="21">
        <v>5934.0299253299991</v>
      </c>
      <c r="LA7" s="21">
        <v>6210.0772912800003</v>
      </c>
      <c r="LB7" s="21">
        <v>6076.0925615899996</v>
      </c>
      <c r="LC7" s="21">
        <v>6031.4667728099994</v>
      </c>
      <c r="LD7" s="21">
        <v>5998.1171794699994</v>
      </c>
      <c r="LE7" s="21">
        <v>5798.1164136899997</v>
      </c>
      <c r="LF7" s="21">
        <v>6235.8267468799995</v>
      </c>
      <c r="LG7" s="21">
        <v>6160.8625770099998</v>
      </c>
      <c r="LH7" s="21">
        <v>5728.15451175</v>
      </c>
      <c r="LI7" s="21">
        <v>5728.15451175</v>
      </c>
      <c r="LJ7" s="21">
        <v>5656.1865625199989</v>
      </c>
      <c r="LK7" s="21">
        <v>5999.6897289400004</v>
      </c>
      <c r="LL7" s="21">
        <v>5911.2843168400004</v>
      </c>
      <c r="LM7" s="21">
        <v>5521.3810420699992</v>
      </c>
      <c r="LN7" s="21">
        <v>5355.1831354100004</v>
      </c>
      <c r="LO7" s="21">
        <v>5115.5088384700002</v>
      </c>
      <c r="LP7" s="21">
        <v>5154.6608475600005</v>
      </c>
      <c r="LQ7" s="21">
        <v>5511.6427182000007</v>
      </c>
      <c r="LR7" s="21">
        <v>4974.4905718700002</v>
      </c>
      <c r="LS7" s="21">
        <v>4847.7964431700002</v>
      </c>
      <c r="LT7" s="21">
        <v>4921.8422552100001</v>
      </c>
      <c r="LU7" s="21">
        <v>5356.5989420800006</v>
      </c>
      <c r="LV7" s="21">
        <v>4940.5954852000004</v>
      </c>
      <c r="LW7" s="21">
        <v>4790.1112128800005</v>
      </c>
      <c r="LX7" s="21">
        <v>4630.6736064800007</v>
      </c>
      <c r="LY7" s="21">
        <v>4403.0373780600003</v>
      </c>
      <c r="LZ7" s="21">
        <v>4802.4740976099993</v>
      </c>
      <c r="MA7" s="21">
        <v>4733.3708940199995</v>
      </c>
      <c r="MB7" s="21">
        <v>4672.6705008999988</v>
      </c>
      <c r="MC7" s="21">
        <v>4206.1019348400005</v>
      </c>
      <c r="MD7" s="21">
        <v>4754.2807002699874</v>
      </c>
      <c r="ME7" s="21">
        <v>4740.1099785399902</v>
      </c>
      <c r="MF7" s="21">
        <v>5117.62713006999</v>
      </c>
      <c r="MG7" s="21">
        <v>4633.4980332999894</v>
      </c>
      <c r="MH7" s="21">
        <v>4238.1749473300006</v>
      </c>
      <c r="MI7" s="21">
        <v>4238.1749473299997</v>
      </c>
      <c r="MJ7" s="21">
        <v>3878.1306917899992</v>
      </c>
      <c r="MK7" s="21">
        <v>4263.1928069599999</v>
      </c>
      <c r="ML7" s="21">
        <v>3989.65864943</v>
      </c>
      <c r="MM7" s="21">
        <v>3694.8822771</v>
      </c>
      <c r="MN7" s="21">
        <v>3647.28707846</v>
      </c>
      <c r="MO7" s="21">
        <v>3679.63171809</v>
      </c>
      <c r="MP7" s="21">
        <v>4224.7348777299994</v>
      </c>
      <c r="MQ7" s="21">
        <v>4144.5778334700008</v>
      </c>
      <c r="MR7" s="21">
        <v>3802.8110892200002</v>
      </c>
      <c r="MS7" s="21">
        <v>3401.7125826199999</v>
      </c>
      <c r="MT7" s="21">
        <v>3345.0997909799999</v>
      </c>
      <c r="MU7" s="21">
        <v>2825.5273902199997</v>
      </c>
      <c r="MV7" s="21">
        <v>3389.7973764300004</v>
      </c>
      <c r="MW7" s="21">
        <v>2529.71572879</v>
      </c>
      <c r="MX7" s="21">
        <v>2652.1744529100001</v>
      </c>
      <c r="MY7" s="21">
        <v>2652.1744529099992</v>
      </c>
      <c r="MZ7" s="21">
        <v>2733.8775713200002</v>
      </c>
      <c r="NA7" s="21">
        <v>3072.5247368400001</v>
      </c>
      <c r="NB7" s="21">
        <v>3283.6947474100002</v>
      </c>
      <c r="NC7" s="21">
        <v>2933.6545964699999</v>
      </c>
      <c r="ND7" s="21">
        <v>2557.2819977599993</v>
      </c>
      <c r="NE7" s="21">
        <v>3129.7006638100002</v>
      </c>
      <c r="NF7" s="21">
        <v>3648.5243855999997</v>
      </c>
      <c r="NG7" s="21">
        <v>3637.94684495</v>
      </c>
      <c r="NH7" s="21">
        <v>3305.8657736199998</v>
      </c>
      <c r="NI7" s="21">
        <v>3441.4653670299999</v>
      </c>
      <c r="NJ7" s="21">
        <v>3895.5437873800001</v>
      </c>
      <c r="NK7" s="21">
        <v>3457.3066811200001</v>
      </c>
      <c r="NL7" s="21">
        <v>3379.0066769099999</v>
      </c>
      <c r="NM7" s="21">
        <v>3379.0066769099999</v>
      </c>
      <c r="NN7" s="21">
        <v>3393.08883079</v>
      </c>
      <c r="NO7" s="21">
        <v>4109.6854278999999</v>
      </c>
      <c r="NP7" s="21">
        <v>4144.1631019899996</v>
      </c>
      <c r="NQ7" s="21">
        <v>4013.94258906</v>
      </c>
      <c r="NR7" s="21">
        <v>3852.4979723199995</v>
      </c>
      <c r="NS7" s="21">
        <v>4587.2276704599999</v>
      </c>
      <c r="NT7" s="21">
        <v>5046.1220800499996</v>
      </c>
      <c r="NU7" s="21">
        <v>5012.4871435699997</v>
      </c>
      <c r="NV7" s="21">
        <v>4702.7242810600001</v>
      </c>
      <c r="NW7" s="21">
        <v>4855.2645127400001</v>
      </c>
      <c r="NX7" s="21">
        <v>5648.7364895699993</v>
      </c>
      <c r="NY7" s="21">
        <v>5619.94086685</v>
      </c>
      <c r="NZ7" s="21">
        <v>5075.2930852899999</v>
      </c>
      <c r="OA7" s="21">
        <v>5075.2930852899999</v>
      </c>
      <c r="OB7" s="21">
        <v>4880.8955145199998</v>
      </c>
      <c r="OC7" s="21">
        <v>5288.4990873300003</v>
      </c>
      <c r="OD7" s="21">
        <v>5289.2584078700002</v>
      </c>
      <c r="OE7" s="21">
        <v>5108.12438294</v>
      </c>
      <c r="OF7" s="24">
        <v>4982.3128411300004</v>
      </c>
      <c r="OG7" s="24">
        <v>4907.3214579800006</v>
      </c>
      <c r="OH7" s="24">
        <v>5070.7489538</v>
      </c>
      <c r="OI7" s="24">
        <v>5695.2813226599992</v>
      </c>
      <c r="OJ7" s="24">
        <v>5633.49785144</v>
      </c>
      <c r="OK7" s="24">
        <v>6235.7622354299983</v>
      </c>
      <c r="OL7" s="24">
        <v>6150.3502546999989</v>
      </c>
      <c r="OM7" s="24">
        <v>6459.9234530199992</v>
      </c>
      <c r="ON7" s="24">
        <v>6108.5260002199993</v>
      </c>
      <c r="OO7" s="24">
        <v>5835.0816270899986</v>
      </c>
      <c r="OP7" s="24">
        <v>6304.3551640900005</v>
      </c>
      <c r="OQ7" s="24">
        <v>6124.6182343400014</v>
      </c>
      <c r="OR7" s="24">
        <v>6368.1571593099998</v>
      </c>
      <c r="OS7" s="24">
        <v>6385.5511037699998</v>
      </c>
      <c r="OT7" s="24">
        <v>6298.8216967299995</v>
      </c>
      <c r="OU7" s="24">
        <v>6115.5222869099998</v>
      </c>
      <c r="OV7" s="24">
        <v>6297.0152263</v>
      </c>
      <c r="OW7" s="24">
        <v>6394.7347526800004</v>
      </c>
      <c r="OX7" s="24">
        <v>6179.916415669999</v>
      </c>
      <c r="OY7" s="24">
        <v>5357.5080917300011</v>
      </c>
      <c r="OZ7" s="24">
        <v>5018.0664717899999</v>
      </c>
      <c r="PA7" s="24">
        <v>5444.8609968600003</v>
      </c>
      <c r="PB7" s="24">
        <v>5071.0018027200003</v>
      </c>
      <c r="PC7" s="24">
        <v>4724.5493284900003</v>
      </c>
      <c r="PD7" s="24">
        <v>4638.8463303499993</v>
      </c>
      <c r="PE7" s="24">
        <v>5109.2020475299996</v>
      </c>
      <c r="PF7" s="24">
        <v>5699.8416885899887</v>
      </c>
      <c r="PG7" s="24">
        <v>5445.70949741</v>
      </c>
      <c r="PH7" s="24">
        <v>4869.1257029099997</v>
      </c>
      <c r="PI7" s="24">
        <v>5004.63002151</v>
      </c>
      <c r="PJ7" s="24">
        <v>5396.5944635799997</v>
      </c>
      <c r="PK7" s="24">
        <v>5402.8400060599906</v>
      </c>
      <c r="PL7" s="24">
        <v>5271.6126444799902</v>
      </c>
      <c r="PM7" s="24">
        <v>4909.7805809199999</v>
      </c>
      <c r="PN7" s="24">
        <v>5861.8628993399907</v>
      </c>
      <c r="PO7" s="24">
        <v>5660.4225670300002</v>
      </c>
      <c r="PP7" s="24">
        <v>5254.8238562899987</v>
      </c>
      <c r="PQ7" s="24">
        <v>5049.8201513899994</v>
      </c>
      <c r="PR7" s="24">
        <v>4983.3772629199993</v>
      </c>
      <c r="PS7" s="24">
        <v>5330.5326858499993</v>
      </c>
      <c r="PT7" s="24">
        <v>5571.4761755300005</v>
      </c>
      <c r="PU7" s="24">
        <v>5175.9486576199997</v>
      </c>
      <c r="PV7" s="24">
        <v>4796.5094758499999</v>
      </c>
      <c r="PW7" s="24">
        <v>4779.8693149700002</v>
      </c>
      <c r="PX7" s="24">
        <v>4911.8240113699994</v>
      </c>
      <c r="PY7" s="24">
        <v>5581.0965416899999</v>
      </c>
      <c r="PZ7" s="24">
        <v>5364.1528701199986</v>
      </c>
      <c r="QA7" s="24">
        <v>5452.99075885</v>
      </c>
      <c r="QB7" s="24">
        <v>5452.99075885</v>
      </c>
      <c r="QC7" s="24">
        <v>5492.10429243</v>
      </c>
      <c r="QD7" s="24">
        <v>5859.6036345299999</v>
      </c>
      <c r="QE7" s="24">
        <v>6024.57569719</v>
      </c>
      <c r="QF7" s="24">
        <v>5763.0239351500004</v>
      </c>
      <c r="QG7" s="24">
        <v>5576.5238264399995</v>
      </c>
      <c r="QH7" s="24">
        <v>5817.7818108799993</v>
      </c>
      <c r="QI7" s="24">
        <v>6426.5328927999999</v>
      </c>
      <c r="QJ7" s="24">
        <v>6593.8567576900004</v>
      </c>
      <c r="QK7" s="24">
        <v>6524.1211534200011</v>
      </c>
      <c r="QL7" s="24">
        <v>5601.6950375799988</v>
      </c>
      <c r="QM7" s="24">
        <v>5493.4442803699994</v>
      </c>
      <c r="QN7" s="24">
        <v>5729.3812064899994</v>
      </c>
      <c r="QO7" s="24">
        <v>6025.9710583699998</v>
      </c>
      <c r="QP7" s="24">
        <v>5590.5796378300001</v>
      </c>
      <c r="QQ7" s="24">
        <v>5227.2231602399997</v>
      </c>
      <c r="QR7" s="24">
        <v>5227.2231602399997</v>
      </c>
      <c r="QS7" s="24">
        <v>5181.8911152000001</v>
      </c>
      <c r="QT7" s="24">
        <v>6032.4910460499996</v>
      </c>
      <c r="QU7" s="24">
        <v>5981.8843058800003</v>
      </c>
      <c r="QV7" s="24">
        <v>5372.5053030100007</v>
      </c>
      <c r="QW7" s="24">
        <v>5046.1969327799998</v>
      </c>
      <c r="QX7" s="24">
        <v>4942.1190938700001</v>
      </c>
      <c r="QY7" s="24">
        <v>5108.6370392099998</v>
      </c>
      <c r="QZ7" s="24">
        <v>5831.756088260001</v>
      </c>
      <c r="RA7" s="24">
        <v>5643.005512830001</v>
      </c>
      <c r="RB7" s="24">
        <v>5760.1915572000007</v>
      </c>
      <c r="RC7" s="24">
        <v>5910.9132474300004</v>
      </c>
      <c r="RD7" s="24">
        <v>5920.3936087300008</v>
      </c>
      <c r="RE7" s="24">
        <v>5579.0616462500002</v>
      </c>
      <c r="RF7" s="24">
        <v>6097.7999651599994</v>
      </c>
      <c r="RG7" s="24">
        <v>6097.7999651599994</v>
      </c>
      <c r="RH7" s="24">
        <v>5884.8811603999984</v>
      </c>
      <c r="RI7" s="24">
        <v>6526.8873633099984</v>
      </c>
      <c r="RJ7" s="24">
        <v>6104.9723254800001</v>
      </c>
      <c r="RK7" s="24">
        <v>6435.51419919</v>
      </c>
      <c r="RL7" s="24">
        <v>6057.3182181400007</v>
      </c>
      <c r="RM7" s="24">
        <v>6605.0873609400005</v>
      </c>
      <c r="RN7" s="24">
        <v>7481.4098932200004</v>
      </c>
      <c r="RO7" s="24">
        <v>7146.9407733799908</v>
      </c>
      <c r="RP7" s="24"/>
      <c r="RQ7" s="24"/>
      <c r="RR7" s="24"/>
      <c r="RS7" s="24"/>
      <c r="RT7" s="24"/>
      <c r="RU7" s="24"/>
      <c r="RV7" s="24"/>
      <c r="RW7" s="24"/>
      <c r="RX7" s="24"/>
      <c r="RY7" s="24"/>
      <c r="RZ7" s="24"/>
      <c r="SA7" s="24"/>
      <c r="SB7" s="24"/>
      <c r="SC7" s="24"/>
      <c r="SD7" s="24"/>
    </row>
    <row r="8" spans="1:498" ht="12" x14ac:dyDescent="0.3">
      <c r="A8" s="16">
        <v>4</v>
      </c>
      <c r="B8" s="20" t="s">
        <v>119</v>
      </c>
      <c r="C8" s="24">
        <v>358.895398</v>
      </c>
      <c r="D8" s="24">
        <v>538.52017799999999</v>
      </c>
      <c r="E8" s="24">
        <v>531.61764600000004</v>
      </c>
      <c r="F8" s="24">
        <v>482.472129</v>
      </c>
      <c r="G8" s="24">
        <v>504.471386</v>
      </c>
      <c r="H8" s="24">
        <v>462.31584600000002</v>
      </c>
      <c r="I8" s="24">
        <v>417.509187</v>
      </c>
      <c r="J8" s="24">
        <v>434.40351600000002</v>
      </c>
      <c r="K8" s="24">
        <v>383.96022699999997</v>
      </c>
      <c r="L8" s="24">
        <v>684.82578599999999</v>
      </c>
      <c r="M8" s="24">
        <v>516.76512300000002</v>
      </c>
      <c r="N8" s="24">
        <v>725.01414299999999</v>
      </c>
      <c r="O8" s="24">
        <v>519.20000000000005</v>
      </c>
      <c r="P8" s="24">
        <v>363.93820699999998</v>
      </c>
      <c r="Q8" s="24">
        <v>275.56992400000001</v>
      </c>
      <c r="R8" s="24">
        <v>429.763599</v>
      </c>
      <c r="S8" s="24">
        <v>575.64469799999995</v>
      </c>
      <c r="T8" s="24">
        <v>712.00763500000005</v>
      </c>
      <c r="U8" s="24">
        <v>506.38407599999999</v>
      </c>
      <c r="V8" s="24">
        <v>423.47164900000001</v>
      </c>
      <c r="W8" s="24">
        <v>527.871038</v>
      </c>
      <c r="X8" s="24">
        <v>522.08511699999997</v>
      </c>
      <c r="Y8" s="24">
        <v>605.93648499999995</v>
      </c>
      <c r="Z8" s="24">
        <v>816.22078299999998</v>
      </c>
      <c r="AA8" s="24">
        <v>649.25622599999997</v>
      </c>
      <c r="AB8" s="24">
        <v>863.62241700000004</v>
      </c>
      <c r="AC8" s="24">
        <v>697.023415</v>
      </c>
      <c r="AD8" s="24">
        <v>755.39812300000006</v>
      </c>
      <c r="AE8" s="24">
        <v>579.69317799999999</v>
      </c>
      <c r="AF8" s="24">
        <v>644.08695599999999</v>
      </c>
      <c r="AG8" s="24">
        <v>654.479285</v>
      </c>
      <c r="AH8" s="24">
        <v>459.76706000000001</v>
      </c>
      <c r="AI8" s="24">
        <v>447.66379799999999</v>
      </c>
      <c r="AJ8" s="24">
        <v>604.18602199999998</v>
      </c>
      <c r="AK8" s="24">
        <v>581.66458899999998</v>
      </c>
      <c r="AL8" s="24">
        <v>968.58165499999996</v>
      </c>
      <c r="AM8" s="24">
        <v>244.18684300000001</v>
      </c>
      <c r="AN8" s="24">
        <v>407.22175399999998</v>
      </c>
      <c r="AO8" s="24">
        <v>365.31878499999999</v>
      </c>
      <c r="AP8" s="24">
        <v>429.14426700000001</v>
      </c>
      <c r="AQ8" s="24">
        <v>512.89326900000003</v>
      </c>
      <c r="AR8" s="24">
        <v>469.52764999999999</v>
      </c>
      <c r="AS8" s="24">
        <v>423.085486</v>
      </c>
      <c r="AT8" s="24">
        <v>527.64410099999998</v>
      </c>
      <c r="AU8" s="24">
        <v>964.32805800000006</v>
      </c>
      <c r="AV8" s="24">
        <v>1095.4701669999999</v>
      </c>
      <c r="AW8" s="24">
        <v>986.66665399999999</v>
      </c>
      <c r="AX8" s="24">
        <v>1076.2045029999999</v>
      </c>
      <c r="AY8" s="24">
        <v>360.43945100000002</v>
      </c>
      <c r="AZ8" s="24">
        <v>689.87116400000002</v>
      </c>
      <c r="BA8" s="24">
        <v>581.367659</v>
      </c>
      <c r="BB8" s="24">
        <v>496.22237100000001</v>
      </c>
      <c r="BC8" s="24">
        <v>442.773821</v>
      </c>
      <c r="BD8" s="24">
        <v>398.30765300000002</v>
      </c>
      <c r="BE8" s="24">
        <v>386.07272999999998</v>
      </c>
      <c r="BF8" s="24">
        <v>469.64217600000001</v>
      </c>
      <c r="BG8" s="24">
        <v>469.244641</v>
      </c>
      <c r="BH8" s="24">
        <v>483.13192800000002</v>
      </c>
      <c r="BI8" s="24">
        <v>380.37764399999998</v>
      </c>
      <c r="BJ8" s="24">
        <v>847.39022199999999</v>
      </c>
      <c r="BK8" s="24">
        <v>360.96490899999998</v>
      </c>
      <c r="BL8" s="24">
        <v>695.37099999999998</v>
      </c>
      <c r="BM8" s="24">
        <v>529.00851999999998</v>
      </c>
      <c r="BN8" s="24">
        <v>429.67722199999997</v>
      </c>
      <c r="BO8" s="24">
        <v>440.92419599999999</v>
      </c>
      <c r="BP8" s="24">
        <v>564.00497399999995</v>
      </c>
      <c r="BQ8" s="24">
        <v>570.52243699999997</v>
      </c>
      <c r="BR8" s="24">
        <v>574.66361600000005</v>
      </c>
      <c r="BS8" s="24">
        <v>582.06882199999995</v>
      </c>
      <c r="BT8" s="24">
        <v>644.43585499999995</v>
      </c>
      <c r="BU8" s="24">
        <v>775.65154500000006</v>
      </c>
      <c r="BV8" s="24">
        <v>1108.461104</v>
      </c>
      <c r="BW8" s="24">
        <v>434.56019500000002</v>
      </c>
      <c r="BX8" s="24">
        <v>702.03281000000004</v>
      </c>
      <c r="BY8" s="24">
        <v>568.15900499999998</v>
      </c>
      <c r="BZ8" s="24">
        <v>484.84195799999998</v>
      </c>
      <c r="CA8" s="24">
        <v>241.675622</v>
      </c>
      <c r="CB8" s="24">
        <v>373.49145600000003</v>
      </c>
      <c r="CC8" s="24">
        <v>341.32860299999999</v>
      </c>
      <c r="CD8" s="24">
        <v>329.63521800000001</v>
      </c>
      <c r="CE8" s="24">
        <v>320.73619600000001</v>
      </c>
      <c r="CF8" s="24">
        <v>440.809304</v>
      </c>
      <c r="CG8" s="24">
        <v>528.02731600000004</v>
      </c>
      <c r="CH8" s="24">
        <v>730.30836699999998</v>
      </c>
      <c r="CI8" s="24">
        <v>357.68917499999998</v>
      </c>
      <c r="CJ8" s="24">
        <v>525.81592000000001</v>
      </c>
      <c r="CK8" s="24">
        <v>580.77045899999996</v>
      </c>
      <c r="CL8" s="24">
        <v>503.67703999999998</v>
      </c>
      <c r="CM8" s="24">
        <v>470.67432300000002</v>
      </c>
      <c r="CN8" s="24">
        <v>584.49809300000004</v>
      </c>
      <c r="CO8" s="24">
        <v>485.93958600000002</v>
      </c>
      <c r="CP8" s="24">
        <v>584.94443100000001</v>
      </c>
      <c r="CQ8" s="24">
        <v>465.76088199999998</v>
      </c>
      <c r="CR8" s="24">
        <v>568.60775100000001</v>
      </c>
      <c r="CS8" s="24">
        <v>536.37123499999996</v>
      </c>
      <c r="CT8" s="24">
        <v>775.06445599999995</v>
      </c>
      <c r="CU8" s="24">
        <v>431.40571499999999</v>
      </c>
      <c r="CV8" s="24">
        <v>598.76634100000001</v>
      </c>
      <c r="CW8" s="24">
        <v>607.55175099999997</v>
      </c>
      <c r="CX8" s="24">
        <v>613.04759899999999</v>
      </c>
      <c r="CY8" s="24">
        <v>477.81071800000001</v>
      </c>
      <c r="CZ8" s="24">
        <v>565.73770200000001</v>
      </c>
      <c r="DA8" s="24">
        <v>489.67953499999999</v>
      </c>
      <c r="DB8" s="24">
        <v>417.64284900000001</v>
      </c>
      <c r="DC8" s="24">
        <v>568.73263199999997</v>
      </c>
      <c r="DD8" s="24">
        <v>555.18303100000003</v>
      </c>
      <c r="DE8" s="24">
        <v>564.54282899999998</v>
      </c>
      <c r="DF8" s="24">
        <v>690.14856899999995</v>
      </c>
      <c r="DG8" s="24">
        <v>295.893777</v>
      </c>
      <c r="DH8" s="24">
        <v>722.357213</v>
      </c>
      <c r="DI8" s="24">
        <v>725.17491800000005</v>
      </c>
      <c r="DJ8" s="30">
        <v>600.81577700000003</v>
      </c>
      <c r="DK8" s="30">
        <v>477.08845000000002</v>
      </c>
      <c r="DL8" s="30">
        <v>623.74738300000001</v>
      </c>
      <c r="DM8" s="30">
        <v>441.827788</v>
      </c>
      <c r="DN8" s="30">
        <v>551.72944099999995</v>
      </c>
      <c r="DO8" s="30">
        <v>447.69799999999998</v>
      </c>
      <c r="DP8" s="30">
        <v>658.62508500000001</v>
      </c>
      <c r="DQ8" s="30">
        <v>537.54445699999997</v>
      </c>
      <c r="DR8" s="30">
        <v>673.595462</v>
      </c>
      <c r="DS8" s="30">
        <v>492.87675300000001</v>
      </c>
      <c r="DT8" s="30">
        <v>692.17860900000005</v>
      </c>
      <c r="DU8" s="30">
        <v>622.49820699999998</v>
      </c>
      <c r="DV8" s="30">
        <v>651.82840999999996</v>
      </c>
      <c r="DW8" s="30">
        <v>581.43763300000001</v>
      </c>
      <c r="DX8" s="30">
        <v>200.907873</v>
      </c>
      <c r="DY8" s="30">
        <v>510.47330399999998</v>
      </c>
      <c r="DZ8" s="30">
        <v>420.15372500000001</v>
      </c>
      <c r="EA8" s="30">
        <v>401.66576700000002</v>
      </c>
      <c r="EB8" s="30">
        <v>216.14293599999999</v>
      </c>
      <c r="EC8" s="30">
        <v>231.42816500000001</v>
      </c>
      <c r="ED8" s="30">
        <v>162.97274100000001</v>
      </c>
      <c r="EE8" s="30">
        <v>242.110367</v>
      </c>
      <c r="EF8" s="30">
        <v>220.84347299999999</v>
      </c>
      <c r="EG8" s="30">
        <v>253.74703600000001</v>
      </c>
      <c r="EH8" s="30">
        <v>306.55804999999998</v>
      </c>
      <c r="EI8" s="30">
        <v>336.13800700000002</v>
      </c>
      <c r="EJ8" s="30">
        <v>336.13800700000002</v>
      </c>
      <c r="EK8" s="30">
        <v>498.81159600000001</v>
      </c>
      <c r="EL8" s="30">
        <v>529.33030099999996</v>
      </c>
      <c r="EM8" s="30">
        <v>587.45808199999999</v>
      </c>
      <c r="EN8" s="30">
        <v>658.85705700000005</v>
      </c>
      <c r="EO8" s="30">
        <v>412.02777800000001</v>
      </c>
      <c r="EP8" s="30">
        <v>356.07198799999998</v>
      </c>
      <c r="EQ8" s="30">
        <v>339.77964700000001</v>
      </c>
      <c r="ER8" s="30">
        <v>458.53244699999999</v>
      </c>
      <c r="ES8" s="30">
        <v>360.26014900000001</v>
      </c>
      <c r="ET8" s="30">
        <v>456.00637699999999</v>
      </c>
      <c r="EU8" s="30">
        <v>397.51535100000001</v>
      </c>
      <c r="EV8" s="30">
        <v>445.850076</v>
      </c>
      <c r="EW8" s="30">
        <v>338.28312499999998</v>
      </c>
      <c r="EX8" s="30">
        <v>417.03770800000001</v>
      </c>
      <c r="EY8" s="30">
        <v>427.75177000000002</v>
      </c>
      <c r="EZ8" s="30">
        <v>314.510468</v>
      </c>
      <c r="FA8" s="30">
        <v>302.65824700000002</v>
      </c>
      <c r="FB8" s="30">
        <v>399.94221399999998</v>
      </c>
      <c r="FC8" s="30">
        <v>322.32245699999999</v>
      </c>
      <c r="FD8" s="30">
        <v>350.382409</v>
      </c>
      <c r="FE8" s="30">
        <v>346.607327</v>
      </c>
      <c r="FF8" s="30">
        <v>621.54994199999999</v>
      </c>
      <c r="FG8" s="30">
        <v>681.21578699999998</v>
      </c>
      <c r="FH8" s="30">
        <v>670.28170499999999</v>
      </c>
      <c r="FI8" s="30">
        <v>670.28170499999999</v>
      </c>
      <c r="FJ8" s="30">
        <v>686.80056500000001</v>
      </c>
      <c r="FK8" s="30">
        <v>577.56234800000004</v>
      </c>
      <c r="FL8" s="30">
        <v>621.98590300000001</v>
      </c>
      <c r="FM8" s="30">
        <v>836.79353300000002</v>
      </c>
      <c r="FN8" s="30">
        <v>835.76138800000001</v>
      </c>
      <c r="FO8" s="30">
        <v>851.03779899999995</v>
      </c>
      <c r="FP8" s="30">
        <v>806.78951300000006</v>
      </c>
      <c r="FQ8" s="30">
        <v>749.56337900000005</v>
      </c>
      <c r="FR8" s="30">
        <v>597.01329499999997</v>
      </c>
      <c r="FS8" s="30">
        <v>511.5188</v>
      </c>
      <c r="FT8" s="30">
        <v>559.80830800000001</v>
      </c>
      <c r="FU8" s="30">
        <v>678.17946900000004</v>
      </c>
      <c r="FV8" s="30">
        <v>762.25649199999998</v>
      </c>
      <c r="FW8" s="30">
        <v>595.159402</v>
      </c>
      <c r="FX8" s="30">
        <v>595.159402</v>
      </c>
      <c r="FY8" s="30">
        <v>606.90138300000001</v>
      </c>
      <c r="FZ8" s="30">
        <v>599.14400599999999</v>
      </c>
      <c r="GA8" s="30">
        <v>580.42732100000001</v>
      </c>
      <c r="GB8" s="30">
        <v>569.94371599999999</v>
      </c>
      <c r="GC8" s="30">
        <v>569.94371599999999</v>
      </c>
      <c r="GD8" s="30">
        <v>571.41279399999996</v>
      </c>
      <c r="GE8" s="30">
        <v>518.64803300000005</v>
      </c>
      <c r="GF8" s="30">
        <v>539.88650299999995</v>
      </c>
      <c r="GG8" s="30">
        <v>605.82095300000003</v>
      </c>
      <c r="GH8" s="30">
        <v>579.43653200000006</v>
      </c>
      <c r="GI8" s="30">
        <v>522.92331899999999</v>
      </c>
      <c r="GJ8" s="30">
        <v>418.292349</v>
      </c>
      <c r="GK8" s="30">
        <v>444.01613600000002</v>
      </c>
      <c r="GL8" s="30">
        <v>599.38494300000002</v>
      </c>
      <c r="GM8" s="30">
        <v>599.38494300000002</v>
      </c>
      <c r="GN8" s="30">
        <v>626.40433199999995</v>
      </c>
      <c r="GO8" s="30">
        <v>463.56273800000002</v>
      </c>
      <c r="GP8" s="30">
        <v>505.49088</v>
      </c>
      <c r="GQ8" s="30">
        <v>529.26150700000005</v>
      </c>
      <c r="GR8" s="30">
        <v>529.49967100000003</v>
      </c>
      <c r="GS8" s="30">
        <v>628.657285</v>
      </c>
      <c r="GT8" s="30">
        <v>521.71540900000002</v>
      </c>
      <c r="GU8" s="30">
        <v>551.71501999999998</v>
      </c>
      <c r="GV8" s="30">
        <v>438.75967300000002</v>
      </c>
      <c r="GW8" s="21">
        <v>444.84276999999997</v>
      </c>
      <c r="GX8" s="21">
        <v>513.15674899999999</v>
      </c>
      <c r="GY8" s="21">
        <v>550.71307200000001</v>
      </c>
      <c r="GZ8" s="21">
        <v>389.51401700000002</v>
      </c>
      <c r="HA8" s="21">
        <v>396.19284599999997</v>
      </c>
      <c r="HB8" s="21">
        <v>467.70893599999999</v>
      </c>
      <c r="HC8" s="21">
        <v>467.70893599999999</v>
      </c>
      <c r="HD8" s="21">
        <v>578.81713999999999</v>
      </c>
      <c r="HE8" s="21">
        <v>421.297639</v>
      </c>
      <c r="HF8" s="21">
        <v>416.37651799999998</v>
      </c>
      <c r="HG8" s="21">
        <v>585.35908700000005</v>
      </c>
      <c r="HH8" s="21">
        <v>584.613248</v>
      </c>
      <c r="HI8" s="21">
        <v>600.67486099999996</v>
      </c>
      <c r="HJ8" s="21">
        <v>405.23578800000001</v>
      </c>
      <c r="HK8" s="21">
        <v>431.44305000000003</v>
      </c>
      <c r="HL8" s="21">
        <v>643.05434000000002</v>
      </c>
      <c r="HM8" s="21">
        <v>521.68193900000006</v>
      </c>
      <c r="HN8" s="21">
        <v>518.65441599999997</v>
      </c>
      <c r="HO8" s="21">
        <v>465.22361599999999</v>
      </c>
      <c r="HP8" s="21">
        <v>310.41442799999999</v>
      </c>
      <c r="HQ8" s="21">
        <v>710.58125099999995</v>
      </c>
      <c r="HR8" s="21">
        <v>558.06009800000004</v>
      </c>
      <c r="HS8" s="21">
        <v>558.06009800000004</v>
      </c>
      <c r="HT8" s="21">
        <v>557.19670199999996</v>
      </c>
      <c r="HU8" s="21">
        <v>626.98334899999998</v>
      </c>
      <c r="HV8" s="21">
        <v>702.33207600000003</v>
      </c>
      <c r="HW8" s="21">
        <v>556.000314</v>
      </c>
      <c r="HX8" s="21">
        <v>554.80528700000002</v>
      </c>
      <c r="HY8" s="21">
        <v>529.82937900000002</v>
      </c>
      <c r="HZ8" s="21">
        <v>353.396027</v>
      </c>
      <c r="IA8" s="21">
        <v>538.43708000000004</v>
      </c>
      <c r="IB8" s="21">
        <v>309.71793400000001</v>
      </c>
      <c r="IC8" s="21">
        <v>461.20082500000001</v>
      </c>
      <c r="ID8" s="21">
        <v>461.20082500000001</v>
      </c>
      <c r="IE8" s="21">
        <v>525.36382700000001</v>
      </c>
      <c r="IF8" s="21">
        <v>659.83508500000005</v>
      </c>
      <c r="IG8" s="21">
        <v>554.71651399999996</v>
      </c>
      <c r="IH8" s="21">
        <v>654.94040399999994</v>
      </c>
      <c r="II8" s="21">
        <v>665.70074</v>
      </c>
      <c r="IJ8" s="21">
        <v>544.72046499999999</v>
      </c>
      <c r="IK8" s="21">
        <v>550.23590799999999</v>
      </c>
      <c r="IL8" s="21">
        <v>563.00585000000001</v>
      </c>
      <c r="IM8" s="21">
        <v>524.83888300000001</v>
      </c>
      <c r="IN8" s="21">
        <v>524.83888300000001</v>
      </c>
      <c r="IO8" s="21">
        <v>507.22701999999998</v>
      </c>
      <c r="IP8" s="21">
        <v>567.48622499999999</v>
      </c>
      <c r="IQ8" s="21">
        <v>564.48860400000001</v>
      </c>
      <c r="IR8" s="21">
        <v>566.90503699999999</v>
      </c>
      <c r="IS8" s="21">
        <v>608.14035799999999</v>
      </c>
      <c r="IT8" s="21">
        <v>608.41660899999999</v>
      </c>
      <c r="IU8" s="21">
        <v>391.068353</v>
      </c>
      <c r="IV8" s="21">
        <v>492.98062399999998</v>
      </c>
      <c r="IW8" s="21">
        <v>547.13245900000004</v>
      </c>
      <c r="IX8" s="21">
        <v>585.43118800000002</v>
      </c>
      <c r="IY8" s="21">
        <v>585.43118800000002</v>
      </c>
      <c r="IZ8" s="21">
        <v>567.68704100000002</v>
      </c>
      <c r="JA8" s="21">
        <v>576.452721</v>
      </c>
      <c r="JB8" s="21">
        <v>455.630852</v>
      </c>
      <c r="JC8" s="21">
        <v>679.581863</v>
      </c>
      <c r="JD8" s="21">
        <v>686.65672400000005</v>
      </c>
      <c r="JE8" s="21">
        <v>714.86460899999997</v>
      </c>
      <c r="JF8" s="21">
        <v>492.15226799999999</v>
      </c>
      <c r="JG8" s="21">
        <v>461.26667900000001</v>
      </c>
      <c r="JH8" s="21">
        <v>564.54944999999998</v>
      </c>
      <c r="JI8" s="21">
        <v>553.13500899999997</v>
      </c>
      <c r="JJ8" s="21">
        <v>555.63632700000005</v>
      </c>
      <c r="JK8" s="21">
        <v>625.472128</v>
      </c>
      <c r="JL8" s="21">
        <v>458.96522199999998</v>
      </c>
      <c r="JM8" s="21">
        <v>504.674376</v>
      </c>
      <c r="JN8" s="21">
        <v>560.69738099999995</v>
      </c>
      <c r="JO8" s="21">
        <v>560.69738099999995</v>
      </c>
      <c r="JP8" s="21">
        <v>375.45985200000001</v>
      </c>
      <c r="JQ8" s="21">
        <v>517.766209</v>
      </c>
      <c r="JR8" s="21">
        <v>567.92583300000001</v>
      </c>
      <c r="JS8" s="21">
        <v>451.78629999999998</v>
      </c>
      <c r="JT8" s="21">
        <v>468.57289800000001</v>
      </c>
      <c r="JU8" s="21">
        <v>472.597621</v>
      </c>
      <c r="JV8" s="21">
        <v>565.16254600000002</v>
      </c>
      <c r="JW8" s="21">
        <v>589.778277</v>
      </c>
      <c r="JX8" s="21">
        <v>416.18761499999999</v>
      </c>
      <c r="JY8" s="21">
        <v>642.82900800000004</v>
      </c>
      <c r="JZ8" s="21">
        <v>613.25081399999999</v>
      </c>
      <c r="KA8" s="21">
        <v>522.20767899999998</v>
      </c>
      <c r="KB8" s="21">
        <v>579.24639400000001</v>
      </c>
      <c r="KC8" s="21">
        <v>364.54335900000001</v>
      </c>
      <c r="KD8" s="21">
        <v>361.21375699999999</v>
      </c>
      <c r="KE8" s="21">
        <v>452.85102699999999</v>
      </c>
      <c r="KF8" s="21">
        <v>469.23397599999998</v>
      </c>
      <c r="KG8" s="21">
        <v>336.95256000000001</v>
      </c>
      <c r="KH8" s="21">
        <v>343.79321399999998</v>
      </c>
      <c r="KI8" s="21">
        <v>356.03378793000002</v>
      </c>
      <c r="KJ8" s="21">
        <v>654.17357041000002</v>
      </c>
      <c r="KK8" s="21">
        <v>907.03271471999994</v>
      </c>
      <c r="KL8" s="21">
        <v>814.82391212000005</v>
      </c>
      <c r="KM8" s="21">
        <v>569.89158287999999</v>
      </c>
      <c r="KN8" s="21">
        <v>514.45040482000002</v>
      </c>
      <c r="KO8" s="21">
        <v>514.45040482000002</v>
      </c>
      <c r="KP8" s="21">
        <v>594.92288875999998</v>
      </c>
      <c r="KQ8" s="21">
        <v>675.11779324999998</v>
      </c>
      <c r="KR8" s="21">
        <v>517.95029767000005</v>
      </c>
      <c r="KS8" s="21">
        <v>618.86312941000006</v>
      </c>
      <c r="KT8" s="21">
        <v>625.27669828000001</v>
      </c>
      <c r="KU8" s="21">
        <v>652.45900893999999</v>
      </c>
      <c r="KV8" s="21">
        <v>411.00180451</v>
      </c>
      <c r="KW8" s="21">
        <v>511.21669355</v>
      </c>
      <c r="KX8" s="21">
        <v>507.17705137000002</v>
      </c>
      <c r="KY8" s="21">
        <v>543.15723100000002</v>
      </c>
      <c r="KZ8" s="21">
        <v>559.70894469999996</v>
      </c>
      <c r="LA8" s="21">
        <v>334.88245770999998</v>
      </c>
      <c r="LB8" s="21">
        <v>527.87000621000004</v>
      </c>
      <c r="LC8" s="21">
        <v>551.40712983000003</v>
      </c>
      <c r="LD8" s="21">
        <v>447.33914661</v>
      </c>
      <c r="LE8" s="21">
        <v>541.45494275999999</v>
      </c>
      <c r="LF8" s="21">
        <v>532.83576674999995</v>
      </c>
      <c r="LG8" s="21">
        <v>521.73165345999996</v>
      </c>
      <c r="LH8" s="21">
        <v>482.78098913999997</v>
      </c>
      <c r="LI8" s="21">
        <v>482.78098913999997</v>
      </c>
      <c r="LJ8" s="21">
        <v>479.72630829000002</v>
      </c>
      <c r="LK8" s="21">
        <v>465.39502088</v>
      </c>
      <c r="LL8" s="21">
        <v>525.39360856999997</v>
      </c>
      <c r="LM8" s="21">
        <v>406.11202078999997</v>
      </c>
      <c r="LN8" s="21">
        <v>461.08735666000001</v>
      </c>
      <c r="LO8" s="21">
        <v>491.63923553000001</v>
      </c>
      <c r="LP8" s="21">
        <v>485.75456014000002</v>
      </c>
      <c r="LQ8" s="21">
        <v>506.40962244000002</v>
      </c>
      <c r="LR8" s="21">
        <v>359.79931789</v>
      </c>
      <c r="LS8" s="21">
        <v>605.46372424000003</v>
      </c>
      <c r="LT8" s="21">
        <v>588.83902421000005</v>
      </c>
      <c r="LU8" s="21">
        <v>439.4775133</v>
      </c>
      <c r="LV8" s="21">
        <v>430.29650916999998</v>
      </c>
      <c r="LW8" s="21">
        <v>678.82276711999998</v>
      </c>
      <c r="LX8" s="21">
        <v>685.57808248000003</v>
      </c>
      <c r="LY8" s="21">
        <v>492.26385462000002</v>
      </c>
      <c r="LZ8" s="21">
        <v>400.62981381999901</v>
      </c>
      <c r="MA8" s="21">
        <v>399.58365911999999</v>
      </c>
      <c r="MB8" s="21">
        <v>473.64953303999903</v>
      </c>
      <c r="MC8" s="21">
        <v>496.4941781</v>
      </c>
      <c r="MD8" s="21">
        <v>484.51597221999901</v>
      </c>
      <c r="ME8" s="21">
        <v>466.18181605000001</v>
      </c>
      <c r="MF8" s="21">
        <v>295.23569491000001</v>
      </c>
      <c r="MG8" s="21">
        <v>478.38337410999901</v>
      </c>
      <c r="MH8" s="21">
        <v>544.24782030999995</v>
      </c>
      <c r="MI8" s="21">
        <v>544.24782030999904</v>
      </c>
      <c r="MJ8" s="21">
        <v>500.03543062</v>
      </c>
      <c r="MK8" s="21">
        <v>324.50763843999999</v>
      </c>
      <c r="ML8" s="21">
        <v>483.06780701999998</v>
      </c>
      <c r="MM8" s="21">
        <v>542.84681119000004</v>
      </c>
      <c r="MN8" s="21">
        <v>511.42804465</v>
      </c>
      <c r="MO8" s="21">
        <v>488.90168097999998</v>
      </c>
      <c r="MP8" s="21">
        <v>496.83689754</v>
      </c>
      <c r="MQ8" s="21">
        <v>746.00019109000004</v>
      </c>
      <c r="MR8" s="21">
        <v>567.74073936000002</v>
      </c>
      <c r="MS8" s="21">
        <v>600.71666301000005</v>
      </c>
      <c r="MT8" s="21">
        <v>571.92210665000005</v>
      </c>
      <c r="MU8" s="21">
        <v>494.69022353000003</v>
      </c>
      <c r="MV8" s="21">
        <v>879.24217970999996</v>
      </c>
      <c r="MW8" s="21">
        <v>625.12118919</v>
      </c>
      <c r="MX8" s="21">
        <v>564.47828434999997</v>
      </c>
      <c r="MY8" s="21">
        <v>564.47828434999894</v>
      </c>
      <c r="MZ8" s="21">
        <v>609.87031657</v>
      </c>
      <c r="NA8" s="21">
        <v>667.52358664999997</v>
      </c>
      <c r="NB8" s="21">
        <v>729.69418827000004</v>
      </c>
      <c r="NC8" s="21">
        <v>847.62848370999995</v>
      </c>
      <c r="ND8" s="21">
        <v>695.24738564999905</v>
      </c>
      <c r="NE8" s="21">
        <v>478.24683797</v>
      </c>
      <c r="NF8" s="21">
        <v>467.01133419000001</v>
      </c>
      <c r="NG8" s="21">
        <v>780.37791543000003</v>
      </c>
      <c r="NH8" s="21">
        <v>666.67995185999996</v>
      </c>
      <c r="NI8" s="21">
        <v>630.94602170999997</v>
      </c>
      <c r="NJ8" s="21">
        <v>658.87785128999997</v>
      </c>
      <c r="NK8" s="21">
        <v>663.08879273000002</v>
      </c>
      <c r="NL8" s="21">
        <v>605.47007985000005</v>
      </c>
      <c r="NM8" s="21">
        <v>605.47007985000005</v>
      </c>
      <c r="NN8" s="21">
        <v>454.93081884999998</v>
      </c>
      <c r="NO8" s="21">
        <v>666.37935110000001</v>
      </c>
      <c r="NP8" s="21">
        <v>595.16649108000001</v>
      </c>
      <c r="NQ8" s="21">
        <v>591.82936584000004</v>
      </c>
      <c r="NR8" s="21">
        <v>427.00738888000001</v>
      </c>
      <c r="NS8" s="21">
        <v>548.71442065999997</v>
      </c>
      <c r="NT8" s="21">
        <v>590.78152693000004</v>
      </c>
      <c r="NU8" s="21">
        <v>438.88203398000002</v>
      </c>
      <c r="NV8" s="21">
        <v>588.74843795000004</v>
      </c>
      <c r="NW8" s="21">
        <v>662.61312095999995</v>
      </c>
      <c r="NX8" s="21">
        <v>657.57308519000003</v>
      </c>
      <c r="NY8" s="21">
        <v>496.34168256999999</v>
      </c>
      <c r="NZ8" s="21">
        <v>718.94827557999997</v>
      </c>
      <c r="OA8" s="21">
        <v>718.94827557999997</v>
      </c>
      <c r="OB8" s="21">
        <v>701.66562038999996</v>
      </c>
      <c r="OC8" s="21">
        <v>570.03065829000002</v>
      </c>
      <c r="OD8" s="21">
        <v>624.90471181999999</v>
      </c>
      <c r="OE8" s="21">
        <v>655.71747946000005</v>
      </c>
      <c r="OF8" s="24">
        <v>588.75202553999998</v>
      </c>
      <c r="OG8" s="24">
        <v>595.52461399000003</v>
      </c>
      <c r="OH8" s="24">
        <v>639.83632050999995</v>
      </c>
      <c r="OI8" s="24">
        <v>661.18730949999997</v>
      </c>
      <c r="OJ8" s="24">
        <v>720.42900517999999</v>
      </c>
      <c r="OK8" s="24">
        <v>735.56570163000004</v>
      </c>
      <c r="OL8" s="24">
        <v>712.10488677000001</v>
      </c>
      <c r="OM8" s="24">
        <v>720.85601071999997</v>
      </c>
      <c r="ON8" s="24">
        <v>591.18500248999999</v>
      </c>
      <c r="OO8" s="24">
        <v>644.18291154999997</v>
      </c>
      <c r="OP8" s="24">
        <v>733.93521840999995</v>
      </c>
      <c r="OQ8" s="24">
        <v>723.84776685999998</v>
      </c>
      <c r="OR8" s="24">
        <v>799.94649883</v>
      </c>
      <c r="OS8" s="24">
        <v>824.63762205</v>
      </c>
      <c r="OT8" s="24">
        <v>866.80356386999995</v>
      </c>
      <c r="OU8" s="24">
        <v>844.55793674999995</v>
      </c>
      <c r="OV8" s="24">
        <v>767.22482207999997</v>
      </c>
      <c r="OW8" s="24">
        <v>903.63974536000001</v>
      </c>
      <c r="OX8" s="24">
        <v>1066.9652138700001</v>
      </c>
      <c r="OY8" s="24">
        <v>1243.6848306500001</v>
      </c>
      <c r="OZ8" s="24">
        <v>1312.31822229</v>
      </c>
      <c r="PA8" s="24">
        <v>1557.4126913099999</v>
      </c>
      <c r="PB8" s="24">
        <v>1342.52871119</v>
      </c>
      <c r="PC8" s="24">
        <v>1342.63830598</v>
      </c>
      <c r="PD8" s="24">
        <v>1262.98052469</v>
      </c>
      <c r="PE8" s="24">
        <v>1491.38644477</v>
      </c>
      <c r="PF8" s="24">
        <v>1592.6449270600001</v>
      </c>
      <c r="PG8" s="24">
        <v>1672.9458258100001</v>
      </c>
      <c r="PH8" s="24">
        <v>1766.59721752</v>
      </c>
      <c r="PI8" s="24">
        <v>1777.5792501000001</v>
      </c>
      <c r="PJ8" s="24">
        <v>1839.9156271899999</v>
      </c>
      <c r="PK8" s="24">
        <v>1875.7126510400001</v>
      </c>
      <c r="PL8" s="24">
        <v>1834.0537269399899</v>
      </c>
      <c r="PM8" s="24">
        <v>1801.7332680100001</v>
      </c>
      <c r="PN8" s="24">
        <v>1873.11097182</v>
      </c>
      <c r="PO8" s="24">
        <v>1889.32124428</v>
      </c>
      <c r="PP8" s="24">
        <v>1933.99912857</v>
      </c>
      <c r="PQ8" s="24">
        <v>1946.82543291</v>
      </c>
      <c r="PR8" s="24">
        <v>1903.99245883</v>
      </c>
      <c r="PS8" s="24">
        <v>1808.52091754</v>
      </c>
      <c r="PT8" s="24">
        <v>1755.73330104</v>
      </c>
      <c r="PU8" s="24">
        <v>1773.7690194500001</v>
      </c>
      <c r="PV8" s="24">
        <v>1765.6025954500001</v>
      </c>
      <c r="PW8" s="24">
        <v>1763.9941608500001</v>
      </c>
      <c r="PX8" s="24">
        <v>1443.1946683900001</v>
      </c>
      <c r="PY8" s="24">
        <v>1280.10912401</v>
      </c>
      <c r="PZ8" s="24">
        <v>1047.60302501</v>
      </c>
      <c r="QA8" s="24">
        <v>1125.87164104</v>
      </c>
      <c r="QB8" s="24">
        <v>1125.87164104</v>
      </c>
      <c r="QC8" s="24">
        <v>1262.30400416</v>
      </c>
      <c r="QD8" s="24">
        <v>1256.40539881</v>
      </c>
      <c r="QE8" s="24">
        <v>1296.9591509100001</v>
      </c>
      <c r="QF8" s="24">
        <v>1146.2630652400001</v>
      </c>
      <c r="QG8" s="24">
        <v>1162.14494616</v>
      </c>
      <c r="QH8" s="24">
        <v>927.71299673999999</v>
      </c>
      <c r="QI8" s="24">
        <v>899.65516293999997</v>
      </c>
      <c r="QJ8" s="24">
        <v>519.47435192</v>
      </c>
      <c r="QK8" s="24">
        <v>682.58666499000003</v>
      </c>
      <c r="QL8" s="24">
        <v>625.02627700000005</v>
      </c>
      <c r="QM8" s="24">
        <v>602.15040875</v>
      </c>
      <c r="QN8" s="24">
        <v>458.59801232000001</v>
      </c>
      <c r="QO8" s="24">
        <v>838.56946399000003</v>
      </c>
      <c r="QP8" s="24">
        <v>828.20216457000004</v>
      </c>
      <c r="QQ8" s="24">
        <v>822.91358029000003</v>
      </c>
      <c r="QR8" s="24">
        <v>822.91358029000003</v>
      </c>
      <c r="QS8" s="24">
        <v>586.53760810000006</v>
      </c>
      <c r="QT8" s="24">
        <v>608.24099855999998</v>
      </c>
      <c r="QU8" s="24">
        <v>615.40203575999999</v>
      </c>
      <c r="QV8" s="24">
        <v>611.27038988000004</v>
      </c>
      <c r="QW8" s="24">
        <v>446.79043250000001</v>
      </c>
      <c r="QX8" s="24">
        <v>435.26054096000001</v>
      </c>
      <c r="QY8" s="24">
        <v>465.51912766999999</v>
      </c>
      <c r="QZ8" s="24">
        <v>589.33852351999997</v>
      </c>
      <c r="RA8" s="24">
        <v>615.47119946999999</v>
      </c>
      <c r="RB8" s="24">
        <v>490.87055126000001</v>
      </c>
      <c r="RC8" s="24">
        <v>492.47597087000003</v>
      </c>
      <c r="RD8" s="24">
        <v>704.73032020999995</v>
      </c>
      <c r="RE8" s="24">
        <v>695.44670326000005</v>
      </c>
      <c r="RF8" s="24">
        <v>700.22996379000006</v>
      </c>
      <c r="RG8" s="24">
        <v>700.22996379000006</v>
      </c>
      <c r="RH8" s="24">
        <v>887.26674781999998</v>
      </c>
      <c r="RI8" s="24">
        <v>1042.4628348399999</v>
      </c>
      <c r="RJ8" s="24">
        <v>1106.7549690799999</v>
      </c>
      <c r="RK8" s="24">
        <v>1079.4170629600001</v>
      </c>
      <c r="RL8" s="24">
        <v>990.28478631999997</v>
      </c>
      <c r="RM8" s="24">
        <v>1111.0659048699999</v>
      </c>
      <c r="RN8" s="24">
        <v>1326.68569462</v>
      </c>
      <c r="RO8" s="24">
        <v>1431.8612203</v>
      </c>
      <c r="RP8" s="24"/>
      <c r="RQ8" s="24"/>
      <c r="RR8" s="24"/>
      <c r="RS8" s="24"/>
      <c r="RT8" s="24"/>
      <c r="RU8" s="24"/>
      <c r="RV8" s="24"/>
      <c r="RW8" s="24"/>
      <c r="RX8" s="24"/>
      <c r="RY8" s="24"/>
      <c r="RZ8" s="24"/>
      <c r="SA8" s="24"/>
      <c r="SB8" s="24"/>
      <c r="SC8" s="24"/>
      <c r="SD8" s="24"/>
    </row>
    <row r="9" spans="1:498" ht="12" x14ac:dyDescent="0.3">
      <c r="A9" s="16">
        <v>5</v>
      </c>
      <c r="B9" s="20" t="s">
        <v>120</v>
      </c>
      <c r="C9" s="24">
        <v>596.965824</v>
      </c>
      <c r="D9" s="24">
        <v>522.72641999999996</v>
      </c>
      <c r="E9" s="24">
        <v>288.93256300000002</v>
      </c>
      <c r="F9" s="24">
        <v>402.96172399999995</v>
      </c>
      <c r="G9" s="24">
        <v>349.63315100000005</v>
      </c>
      <c r="H9" s="24">
        <v>305.71310700000004</v>
      </c>
      <c r="I9" s="24">
        <v>205.41307900000001</v>
      </c>
      <c r="J9" s="24">
        <v>232.992256</v>
      </c>
      <c r="K9" s="24">
        <v>297.437433</v>
      </c>
      <c r="L9" s="24">
        <v>406.95041300000003</v>
      </c>
      <c r="M9" s="24">
        <v>472.19988799999999</v>
      </c>
      <c r="N9" s="24">
        <v>399.03261600000002</v>
      </c>
      <c r="O9" s="24">
        <v>504.51000000000005</v>
      </c>
      <c r="P9" s="24">
        <v>373.32450999999998</v>
      </c>
      <c r="Q9" s="24">
        <v>502.62653</v>
      </c>
      <c r="R9" s="24">
        <v>322.42297199999996</v>
      </c>
      <c r="S9" s="24">
        <v>343.07528399999995</v>
      </c>
      <c r="T9" s="24">
        <v>161.88295200000005</v>
      </c>
      <c r="U9" s="24">
        <v>374.47996799999999</v>
      </c>
      <c r="V9" s="24">
        <v>418.56705200000005</v>
      </c>
      <c r="W9" s="24">
        <v>205.93658299999993</v>
      </c>
      <c r="X9" s="24">
        <v>298.23977599999995</v>
      </c>
      <c r="Y9" s="24">
        <v>409.08680899999996</v>
      </c>
      <c r="Z9" s="24">
        <v>400.76066600000001</v>
      </c>
      <c r="AA9" s="24">
        <v>295.39474300000001</v>
      </c>
      <c r="AB9" s="24">
        <v>358.91184499999986</v>
      </c>
      <c r="AC9" s="24">
        <v>373.41490299999987</v>
      </c>
      <c r="AD9" s="24">
        <v>355.57693799999998</v>
      </c>
      <c r="AE9" s="24">
        <v>416.86634399999986</v>
      </c>
      <c r="AF9" s="24">
        <v>444.8561039999999</v>
      </c>
      <c r="AG9" s="24">
        <v>518.23013100000003</v>
      </c>
      <c r="AH9" s="24">
        <v>381.86119000000002</v>
      </c>
      <c r="AI9" s="24">
        <v>382.0363109999999</v>
      </c>
      <c r="AJ9" s="24">
        <v>334.8904859999999</v>
      </c>
      <c r="AK9" s="24">
        <v>367.22121299999986</v>
      </c>
      <c r="AL9" s="24">
        <v>301.97749900000008</v>
      </c>
      <c r="AM9" s="24">
        <v>225.00963500000012</v>
      </c>
      <c r="AN9" s="24">
        <v>337.25002699999999</v>
      </c>
      <c r="AO9" s="24">
        <v>258.40655699999985</v>
      </c>
      <c r="AP9" s="24">
        <v>316.37009400000011</v>
      </c>
      <c r="AQ9" s="24">
        <v>338.75826799999982</v>
      </c>
      <c r="AR9" s="24">
        <v>214.641212</v>
      </c>
      <c r="AS9" s="24">
        <v>162.68240700000013</v>
      </c>
      <c r="AT9" s="24">
        <v>416.50930599999987</v>
      </c>
      <c r="AU9" s="24">
        <v>342.622164</v>
      </c>
      <c r="AV9" s="24">
        <v>372.47169400000013</v>
      </c>
      <c r="AW9" s="24">
        <v>215.38260000000005</v>
      </c>
      <c r="AX9" s="24">
        <v>486.52641399999993</v>
      </c>
      <c r="AY9" s="24">
        <v>1428.6921689999999</v>
      </c>
      <c r="AZ9" s="24">
        <v>1048.6207150000002</v>
      </c>
      <c r="BA9" s="24">
        <v>1309.602674</v>
      </c>
      <c r="BB9" s="24">
        <v>1524.1760670000001</v>
      </c>
      <c r="BC9" s="24">
        <v>1240.1587769999999</v>
      </c>
      <c r="BD9" s="24">
        <v>1350.6247780000001</v>
      </c>
      <c r="BE9" s="24">
        <v>1371.6486239999997</v>
      </c>
      <c r="BF9" s="24">
        <v>1246.5866340000002</v>
      </c>
      <c r="BG9" s="24">
        <v>1409.5356859999999</v>
      </c>
      <c r="BH9" s="24">
        <v>1286.3777109999999</v>
      </c>
      <c r="BI9" s="24">
        <v>1300.824267</v>
      </c>
      <c r="BJ9" s="24">
        <v>1540.579524</v>
      </c>
      <c r="BK9" s="24">
        <v>1193.122288</v>
      </c>
      <c r="BL9" s="24">
        <v>1271.39094</v>
      </c>
      <c r="BM9" s="24">
        <v>944.5089210000001</v>
      </c>
      <c r="BN9" s="24">
        <v>695.28719699999999</v>
      </c>
      <c r="BO9" s="24">
        <v>811.885806</v>
      </c>
      <c r="BP9" s="24">
        <v>647.08574299999998</v>
      </c>
      <c r="BQ9" s="24">
        <v>692.66378199999997</v>
      </c>
      <c r="BR9" s="24">
        <v>574.99153200000001</v>
      </c>
      <c r="BS9" s="24">
        <v>533.53465900000003</v>
      </c>
      <c r="BT9" s="24">
        <v>577.64015400000005</v>
      </c>
      <c r="BU9" s="24">
        <v>758.94929900000011</v>
      </c>
      <c r="BV9" s="24">
        <v>982.22766000000001</v>
      </c>
      <c r="BW9" s="24">
        <v>560.65888000000007</v>
      </c>
      <c r="BX9" s="24">
        <v>539.93859200000009</v>
      </c>
      <c r="BY9" s="24">
        <v>345.30396500000001</v>
      </c>
      <c r="BZ9" s="24">
        <v>332.67605399999997</v>
      </c>
      <c r="CA9" s="24">
        <v>176.942621</v>
      </c>
      <c r="CB9" s="24">
        <v>305.18144899999999</v>
      </c>
      <c r="CC9" s="24">
        <v>200.24985500000003</v>
      </c>
      <c r="CD9" s="24">
        <v>212.70727300000004</v>
      </c>
      <c r="CE9" s="24">
        <v>411.431871</v>
      </c>
      <c r="CF9" s="24">
        <v>1255.9681</v>
      </c>
      <c r="CG9" s="24">
        <v>234.62153700000002</v>
      </c>
      <c r="CH9" s="24">
        <v>374.96744000000001</v>
      </c>
      <c r="CI9" s="24">
        <v>331.53868499999999</v>
      </c>
      <c r="CJ9" s="24">
        <v>166.98745700000003</v>
      </c>
      <c r="CK9" s="24">
        <v>351.80286700000005</v>
      </c>
      <c r="CL9" s="24">
        <v>285.35213500000003</v>
      </c>
      <c r="CM9" s="24">
        <v>292.37464999999997</v>
      </c>
      <c r="CN9" s="24">
        <v>178.90130500000001</v>
      </c>
      <c r="CO9" s="24">
        <v>61.891120999999998</v>
      </c>
      <c r="CP9" s="24">
        <v>332.00384299999996</v>
      </c>
      <c r="CQ9" s="24">
        <v>247.72897899999998</v>
      </c>
      <c r="CR9" s="24">
        <v>268.43707899999998</v>
      </c>
      <c r="CS9" s="24">
        <v>257.74046699999997</v>
      </c>
      <c r="CT9" s="24">
        <v>400.21731399999999</v>
      </c>
      <c r="CU9" s="24">
        <v>216.95760100000001</v>
      </c>
      <c r="CV9" s="24">
        <v>324.00963200000001</v>
      </c>
      <c r="CW9" s="24">
        <v>292.83497400000005</v>
      </c>
      <c r="CX9" s="24">
        <v>158.13064</v>
      </c>
      <c r="CY9" s="24">
        <v>281.26312100000001</v>
      </c>
      <c r="CZ9" s="24">
        <v>157.81519</v>
      </c>
      <c r="DA9" s="24">
        <v>175.255437</v>
      </c>
      <c r="DB9" s="24">
        <v>453.65219200000001</v>
      </c>
      <c r="DC9" s="24">
        <v>188.30799300000001</v>
      </c>
      <c r="DD9" s="24">
        <v>233.34553499999998</v>
      </c>
      <c r="DE9" s="24">
        <v>157.85686799999999</v>
      </c>
      <c r="DF9" s="24">
        <v>229.00630199999998</v>
      </c>
      <c r="DG9" s="24">
        <v>305.70592299999998</v>
      </c>
      <c r="DH9" s="24">
        <v>601.74766299999999</v>
      </c>
      <c r="DI9" s="24">
        <v>364.52107799999999</v>
      </c>
      <c r="DJ9" s="30">
        <v>359.83765700000004</v>
      </c>
      <c r="DK9" s="30">
        <v>558.61086400000011</v>
      </c>
      <c r="DL9" s="30">
        <v>352.508285</v>
      </c>
      <c r="DM9" s="30">
        <v>385.446732</v>
      </c>
      <c r="DN9" s="30">
        <v>212.68105299999999</v>
      </c>
      <c r="DO9" s="30">
        <v>299.06046500000002</v>
      </c>
      <c r="DP9" s="30">
        <v>313.39405499999998</v>
      </c>
      <c r="DQ9" s="30">
        <v>288.70776000000001</v>
      </c>
      <c r="DR9" s="30">
        <v>277.48153999999994</v>
      </c>
      <c r="DS9" s="30">
        <v>372.15231399999999</v>
      </c>
      <c r="DT9" s="30">
        <v>342.50833800000004</v>
      </c>
      <c r="DU9" s="30">
        <v>377.63880200000006</v>
      </c>
      <c r="DV9" s="30">
        <v>235.87488400000001</v>
      </c>
      <c r="DW9" s="30">
        <v>480.47452699999997</v>
      </c>
      <c r="DX9" s="30">
        <v>720.62075399999981</v>
      </c>
      <c r="DY9" s="30">
        <v>439.03816399999999</v>
      </c>
      <c r="DZ9" s="30">
        <v>346.11435</v>
      </c>
      <c r="EA9" s="30">
        <v>543.41185900000005</v>
      </c>
      <c r="EB9" s="30">
        <v>222.27131499999999</v>
      </c>
      <c r="EC9" s="30">
        <v>608.98832900000002</v>
      </c>
      <c r="ED9" s="30">
        <v>676.14374900000007</v>
      </c>
      <c r="EE9" s="30">
        <v>523.89387799999997</v>
      </c>
      <c r="EF9" s="30">
        <v>658.60189200000013</v>
      </c>
      <c r="EG9" s="30">
        <v>262.788749</v>
      </c>
      <c r="EH9" s="30">
        <v>250.34494199999997</v>
      </c>
      <c r="EI9" s="30">
        <v>500.92828799999995</v>
      </c>
      <c r="EJ9" s="30">
        <v>500.92828799999995</v>
      </c>
      <c r="EK9" s="30">
        <v>439.15361300000001</v>
      </c>
      <c r="EL9" s="30">
        <v>519.09597699999995</v>
      </c>
      <c r="EM9" s="30">
        <v>846.48076300000002</v>
      </c>
      <c r="EN9" s="30">
        <v>411.48940600000003</v>
      </c>
      <c r="EO9" s="30">
        <v>450.201708</v>
      </c>
      <c r="EP9" s="30">
        <v>518.234104</v>
      </c>
      <c r="EQ9" s="30">
        <v>539.58033799999987</v>
      </c>
      <c r="ER9" s="30">
        <v>418.42834499999998</v>
      </c>
      <c r="ES9" s="30">
        <v>325.67374799999999</v>
      </c>
      <c r="ET9" s="30">
        <v>358.07507599999997</v>
      </c>
      <c r="EU9" s="30">
        <v>386.84133200000002</v>
      </c>
      <c r="EV9" s="30">
        <v>461.44988000000001</v>
      </c>
      <c r="EW9" s="30">
        <v>501.59228300000001</v>
      </c>
      <c r="EX9" s="30">
        <v>382.37982099999999</v>
      </c>
      <c r="EY9" s="30">
        <v>565.56799799999999</v>
      </c>
      <c r="EZ9" s="30">
        <v>606.35619599999995</v>
      </c>
      <c r="FA9" s="30">
        <v>636.42406200000005</v>
      </c>
      <c r="FB9" s="30">
        <v>522.30326000000014</v>
      </c>
      <c r="FC9" s="30">
        <v>650.64122699999996</v>
      </c>
      <c r="FD9" s="30">
        <v>590.23922900000002</v>
      </c>
      <c r="FE9" s="30">
        <v>600.64098200000001</v>
      </c>
      <c r="FF9" s="30">
        <v>679.34963400000015</v>
      </c>
      <c r="FG9" s="30">
        <v>588.33072400000003</v>
      </c>
      <c r="FH9" s="30">
        <v>554.22125599999993</v>
      </c>
      <c r="FI9" s="30">
        <v>554.22125599999993</v>
      </c>
      <c r="FJ9" s="30">
        <v>545.9424029999999</v>
      </c>
      <c r="FK9" s="30">
        <v>584.20115499999997</v>
      </c>
      <c r="FL9" s="30">
        <v>401.88052000000005</v>
      </c>
      <c r="FM9" s="30">
        <v>344.34230299999996</v>
      </c>
      <c r="FN9" s="30">
        <v>446.90001100000001</v>
      </c>
      <c r="FO9" s="30">
        <v>477.94367400000004</v>
      </c>
      <c r="FP9" s="30">
        <v>421.59670199999999</v>
      </c>
      <c r="FQ9" s="30">
        <v>521.31259</v>
      </c>
      <c r="FR9" s="30">
        <v>1302.8380440000001</v>
      </c>
      <c r="FS9" s="30">
        <v>218.35215199999999</v>
      </c>
      <c r="FT9" s="30">
        <v>258.92601999999999</v>
      </c>
      <c r="FU9" s="30">
        <v>198.23921299999998</v>
      </c>
      <c r="FV9" s="30">
        <v>283.48308800000001</v>
      </c>
      <c r="FW9" s="30">
        <v>375.745745</v>
      </c>
      <c r="FX9" s="30">
        <v>375.745745</v>
      </c>
      <c r="FY9" s="30">
        <v>286.53945900000002</v>
      </c>
      <c r="FZ9" s="30">
        <v>265.91233899999997</v>
      </c>
      <c r="GA9" s="30">
        <v>221.80187100000001</v>
      </c>
      <c r="GB9" s="30">
        <v>254.65443300000001</v>
      </c>
      <c r="GC9" s="30">
        <v>254.65443300000001</v>
      </c>
      <c r="GD9" s="30">
        <v>220.51828800000004</v>
      </c>
      <c r="GE9" s="30">
        <v>385.24147899999997</v>
      </c>
      <c r="GF9" s="30">
        <v>212.00885200000002</v>
      </c>
      <c r="GG9" s="30">
        <v>226.76759300000001</v>
      </c>
      <c r="GH9" s="30">
        <v>155.94066000000001</v>
      </c>
      <c r="GI9" s="30">
        <v>236.73581899999999</v>
      </c>
      <c r="GJ9" s="30">
        <v>302.14357699999999</v>
      </c>
      <c r="GK9" s="30">
        <v>287.385648</v>
      </c>
      <c r="GL9" s="30">
        <v>297.87176400000004</v>
      </c>
      <c r="GM9" s="30">
        <v>297.87176400000004</v>
      </c>
      <c r="GN9" s="30">
        <v>226.03487100000001</v>
      </c>
      <c r="GO9" s="30">
        <v>364.005245</v>
      </c>
      <c r="GP9" s="30">
        <v>309.42647799999997</v>
      </c>
      <c r="GQ9" s="30">
        <v>137.01645300000001</v>
      </c>
      <c r="GR9" s="30">
        <v>128.091241</v>
      </c>
      <c r="GS9" s="30">
        <v>253.26472700000002</v>
      </c>
      <c r="GT9" s="30">
        <v>197.74239899999998</v>
      </c>
      <c r="GU9" s="30">
        <v>194.989091</v>
      </c>
      <c r="GV9" s="30">
        <v>408.51613400000002</v>
      </c>
      <c r="GW9" s="21">
        <v>261.56796699999995</v>
      </c>
      <c r="GX9" s="21">
        <v>212.85234800000001</v>
      </c>
      <c r="GY9" s="21">
        <v>155.76550800000001</v>
      </c>
      <c r="GZ9" s="21">
        <v>392.288095</v>
      </c>
      <c r="HA9" s="21">
        <v>247.88658499999997</v>
      </c>
      <c r="HB9" s="21">
        <v>218.812353</v>
      </c>
      <c r="HC9" s="21">
        <v>218.812353</v>
      </c>
      <c r="HD9" s="21">
        <v>175.272717</v>
      </c>
      <c r="HE9" s="21">
        <v>176.46378099999998</v>
      </c>
      <c r="HF9" s="21">
        <v>131.62387099999998</v>
      </c>
      <c r="HG9" s="21">
        <v>233.33494899999999</v>
      </c>
      <c r="HH9" s="21">
        <v>199.84593900000002</v>
      </c>
      <c r="HI9" s="21">
        <v>154.52402699999999</v>
      </c>
      <c r="HJ9" s="21">
        <v>307.233858</v>
      </c>
      <c r="HK9" s="21">
        <v>131.77379699999997</v>
      </c>
      <c r="HL9" s="21">
        <v>152.70007599999997</v>
      </c>
      <c r="HM9" s="21">
        <v>204.60164500000002</v>
      </c>
      <c r="HN9" s="21">
        <v>493.11936899999995</v>
      </c>
      <c r="HO9" s="21">
        <v>251.74760600000002</v>
      </c>
      <c r="HP9" s="21">
        <v>414.85526700000003</v>
      </c>
      <c r="HQ9" s="21">
        <v>127.04870500000001</v>
      </c>
      <c r="HR9" s="21">
        <v>169.67159099999998</v>
      </c>
      <c r="HS9" s="21">
        <v>169.67159099999998</v>
      </c>
      <c r="HT9" s="21">
        <v>214.58908499999998</v>
      </c>
      <c r="HU9" s="21">
        <v>175.63249800000003</v>
      </c>
      <c r="HV9" s="21">
        <v>187.46333500000003</v>
      </c>
      <c r="HW9" s="21">
        <v>140.089788</v>
      </c>
      <c r="HX9" s="21">
        <v>223.11439299999998</v>
      </c>
      <c r="HY9" s="21">
        <v>408.78072700000001</v>
      </c>
      <c r="HZ9" s="21">
        <v>600.45955800000002</v>
      </c>
      <c r="IA9" s="21">
        <v>303.22373699999997</v>
      </c>
      <c r="IB9" s="21">
        <v>733.83398699999998</v>
      </c>
      <c r="IC9" s="21">
        <v>184.15067599999998</v>
      </c>
      <c r="ID9" s="21">
        <v>184.15857199999999</v>
      </c>
      <c r="IE9" s="21">
        <v>349.93961800000011</v>
      </c>
      <c r="IF9" s="21">
        <v>467.14078900000004</v>
      </c>
      <c r="IG9" s="21">
        <v>402.81324000000001</v>
      </c>
      <c r="IH9" s="21">
        <v>285.43912399999999</v>
      </c>
      <c r="II9" s="21">
        <v>454.45420199999995</v>
      </c>
      <c r="IJ9" s="21">
        <v>412.70280499999996</v>
      </c>
      <c r="IK9" s="21">
        <v>337.82360900000003</v>
      </c>
      <c r="IL9" s="21">
        <v>446.67252200000001</v>
      </c>
      <c r="IM9" s="21">
        <v>217.76591999999999</v>
      </c>
      <c r="IN9" s="21">
        <v>217.76591999999999</v>
      </c>
      <c r="IO9" s="21">
        <v>777.78644400000007</v>
      </c>
      <c r="IP9" s="21">
        <v>452.42297399999995</v>
      </c>
      <c r="IQ9" s="21">
        <v>336.14673499999992</v>
      </c>
      <c r="IR9" s="21">
        <v>252.30998600000001</v>
      </c>
      <c r="IS9" s="21">
        <v>239.15393900000001</v>
      </c>
      <c r="IT9" s="21">
        <v>212.89145200000002</v>
      </c>
      <c r="IU9" s="21">
        <v>216.99468599999997</v>
      </c>
      <c r="IV9" s="21">
        <v>303.14668600000005</v>
      </c>
      <c r="IW9" s="21">
        <v>238.84367000000003</v>
      </c>
      <c r="IX9" s="21">
        <v>406.63011700000004</v>
      </c>
      <c r="IY9" s="21">
        <v>406.63011700000004</v>
      </c>
      <c r="IZ9" s="21">
        <v>433.13329899999997</v>
      </c>
      <c r="JA9" s="21">
        <v>188.51366599999997</v>
      </c>
      <c r="JB9" s="21">
        <v>335.50701699999996</v>
      </c>
      <c r="JC9" s="21">
        <v>287.61483299999998</v>
      </c>
      <c r="JD9" s="21">
        <v>148.72041100000001</v>
      </c>
      <c r="JE9" s="21">
        <v>155.12406800000002</v>
      </c>
      <c r="JF9" s="21">
        <v>326.55130999999994</v>
      </c>
      <c r="JG9" s="21">
        <v>452.28704400000004</v>
      </c>
      <c r="JH9" s="21">
        <v>496.92899799999992</v>
      </c>
      <c r="JI9" s="21">
        <v>384.87064000000004</v>
      </c>
      <c r="JJ9" s="21">
        <v>320.568084</v>
      </c>
      <c r="JK9" s="21">
        <v>387.334923</v>
      </c>
      <c r="JL9" s="21">
        <v>266.20782899999995</v>
      </c>
      <c r="JM9" s="21">
        <v>310.61256800000001</v>
      </c>
      <c r="JN9" s="21">
        <v>186.08174400000001</v>
      </c>
      <c r="JO9" s="21">
        <v>186.08174400000001</v>
      </c>
      <c r="JP9" s="21">
        <v>332.77876700000002</v>
      </c>
      <c r="JQ9" s="21">
        <v>446.41372300000006</v>
      </c>
      <c r="JR9" s="21">
        <v>164.059303</v>
      </c>
      <c r="JS9" s="21">
        <v>132.74192099999999</v>
      </c>
      <c r="JT9" s="21">
        <v>190.51026999999999</v>
      </c>
      <c r="JU9" s="21">
        <v>278.39242300000001</v>
      </c>
      <c r="JV9" s="21">
        <v>300.35143899999997</v>
      </c>
      <c r="JW9" s="21">
        <v>215.422695</v>
      </c>
      <c r="JX9" s="21">
        <v>164.615227</v>
      </c>
      <c r="JY9" s="21">
        <v>207.10719900000001</v>
      </c>
      <c r="JZ9" s="21">
        <v>99.824281999999982</v>
      </c>
      <c r="KA9" s="21">
        <v>257.04749299999997</v>
      </c>
      <c r="KB9" s="21">
        <v>200.969877</v>
      </c>
      <c r="KC9" s="21">
        <v>203.63539800000001</v>
      </c>
      <c r="KD9" s="21">
        <v>447.61439100000007</v>
      </c>
      <c r="KE9" s="21">
        <v>185.17263499999999</v>
      </c>
      <c r="KF9" s="21">
        <v>347.704519</v>
      </c>
      <c r="KG9" s="21">
        <v>493.707449</v>
      </c>
      <c r="KH9" s="21">
        <v>156.08816300000001</v>
      </c>
      <c r="KI9" s="21">
        <v>389.94637563000003</v>
      </c>
      <c r="KJ9" s="21">
        <v>398.01889642999998</v>
      </c>
      <c r="KK9" s="21">
        <v>268.48236885</v>
      </c>
      <c r="KL9" s="21">
        <v>147.85838655999999</v>
      </c>
      <c r="KM9" s="21">
        <v>613.00974709000002</v>
      </c>
      <c r="KN9" s="21">
        <v>345.9738284</v>
      </c>
      <c r="KO9" s="21">
        <v>345.9738284</v>
      </c>
      <c r="KP9" s="21">
        <v>248.90453405</v>
      </c>
      <c r="KQ9" s="21">
        <v>241.80421117</v>
      </c>
      <c r="KR9" s="21">
        <v>528.18308947000003</v>
      </c>
      <c r="KS9" s="21">
        <v>71.145861409999995</v>
      </c>
      <c r="KT9" s="21">
        <v>278.11510191999997</v>
      </c>
      <c r="KU9" s="21">
        <v>276.89890152999999</v>
      </c>
      <c r="KV9" s="21">
        <v>250.82080337000002</v>
      </c>
      <c r="KW9" s="21">
        <v>282.65249763999998</v>
      </c>
      <c r="KX9" s="21">
        <v>313.23529402999998</v>
      </c>
      <c r="KY9" s="21">
        <v>137.49887231</v>
      </c>
      <c r="KZ9" s="21">
        <v>183.27925307000001</v>
      </c>
      <c r="LA9" s="21">
        <v>259.89241521000002</v>
      </c>
      <c r="LB9" s="21">
        <v>156.70648869999997</v>
      </c>
      <c r="LC9" s="21">
        <v>109.47567909999998</v>
      </c>
      <c r="LD9" s="21">
        <v>509.56607109999999</v>
      </c>
      <c r="LE9" s="21">
        <v>271.19636071999997</v>
      </c>
      <c r="LF9" s="21">
        <v>244.97983560000003</v>
      </c>
      <c r="LG9" s="21">
        <v>221.11275921000001</v>
      </c>
      <c r="LH9" s="21">
        <v>93.238432869999997</v>
      </c>
      <c r="LI9" s="21">
        <v>93.238432869999997</v>
      </c>
      <c r="LJ9" s="21">
        <v>336.56622792000002</v>
      </c>
      <c r="LK9" s="21">
        <v>357.97692205000004</v>
      </c>
      <c r="LL9" s="21">
        <v>440.53972949999996</v>
      </c>
      <c r="LM9" s="21">
        <v>324.65790645999999</v>
      </c>
      <c r="LN9" s="21">
        <v>344.43990536000001</v>
      </c>
      <c r="LO9" s="21">
        <v>76.276886659999988</v>
      </c>
      <c r="LP9" s="21">
        <v>381.65430494999998</v>
      </c>
      <c r="LQ9" s="21">
        <v>331.08448348000002</v>
      </c>
      <c r="LR9" s="21">
        <v>580.59222691000002</v>
      </c>
      <c r="LS9" s="21">
        <v>543.75265689000003</v>
      </c>
      <c r="LT9" s="21">
        <v>504.37296087000004</v>
      </c>
      <c r="LU9" s="21">
        <v>497.03532585000005</v>
      </c>
      <c r="LV9" s="21">
        <v>303.16494585000004</v>
      </c>
      <c r="LW9" s="21">
        <v>171.46617986000001</v>
      </c>
      <c r="LX9" s="21">
        <v>355.85991855999998</v>
      </c>
      <c r="LY9" s="21">
        <v>616.68692909999993</v>
      </c>
      <c r="LZ9" s="21">
        <v>609.85020579000013</v>
      </c>
      <c r="MA9" s="21">
        <v>805.31675898999993</v>
      </c>
      <c r="MB9" s="21">
        <v>805.79638889</v>
      </c>
      <c r="MC9" s="21">
        <v>385.55224368000012</v>
      </c>
      <c r="MD9" s="21">
        <v>547.78130625999893</v>
      </c>
      <c r="ME9" s="21">
        <v>398.99853272000007</v>
      </c>
      <c r="MF9" s="21">
        <v>866.16211605000001</v>
      </c>
      <c r="MG9" s="21">
        <v>525.66777062000006</v>
      </c>
      <c r="MH9" s="21">
        <v>294.43668726999999</v>
      </c>
      <c r="MI9" s="21">
        <v>294.43668726999999</v>
      </c>
      <c r="MJ9" s="21">
        <v>484.28171867999896</v>
      </c>
      <c r="MK9" s="21">
        <v>646.53374372999997</v>
      </c>
      <c r="ML9" s="21">
        <v>366.05403784999999</v>
      </c>
      <c r="MM9" s="21">
        <v>323.37995165000001</v>
      </c>
      <c r="MN9" s="21">
        <v>448.11378090000005</v>
      </c>
      <c r="MO9" s="21">
        <v>451.83253922000006</v>
      </c>
      <c r="MP9" s="21">
        <v>621.85468952999997</v>
      </c>
      <c r="MQ9" s="21">
        <v>619.65588870000011</v>
      </c>
      <c r="MR9" s="21">
        <v>279.08301506999999</v>
      </c>
      <c r="MS9" s="21">
        <v>241.34783592999997</v>
      </c>
      <c r="MT9" s="21">
        <v>416.21648143000004</v>
      </c>
      <c r="MU9" s="21">
        <v>480.75982582</v>
      </c>
      <c r="MV9" s="21">
        <v>292.48188947999995</v>
      </c>
      <c r="MW9" s="21">
        <v>392.69356517</v>
      </c>
      <c r="MX9" s="21">
        <v>425.21249955999997</v>
      </c>
      <c r="MY9" s="21">
        <v>425.21249955999997</v>
      </c>
      <c r="MZ9" s="21">
        <v>413.74444817</v>
      </c>
      <c r="NA9" s="21">
        <v>731.46526722999999</v>
      </c>
      <c r="NB9" s="21">
        <v>145.00408111000002</v>
      </c>
      <c r="NC9" s="21">
        <v>188.06628925999996</v>
      </c>
      <c r="ND9" s="21">
        <v>367.19132378000006</v>
      </c>
      <c r="NE9" s="21">
        <v>322.02025287999999</v>
      </c>
      <c r="NF9" s="21">
        <v>355.33556953999994</v>
      </c>
      <c r="NG9" s="21">
        <v>179.74767133999998</v>
      </c>
      <c r="NH9" s="21">
        <v>399.57036668000001</v>
      </c>
      <c r="NI9" s="21">
        <v>299.50487749000001</v>
      </c>
      <c r="NJ9" s="21">
        <v>90.255582989999994</v>
      </c>
      <c r="NK9" s="21">
        <v>109.94024799</v>
      </c>
      <c r="NL9" s="21">
        <v>70.302224370000019</v>
      </c>
      <c r="NM9" s="21">
        <v>70.302224370000019</v>
      </c>
      <c r="NN9" s="21">
        <v>375.83363936999996</v>
      </c>
      <c r="NO9" s="21">
        <v>436.69721182999996</v>
      </c>
      <c r="NP9" s="21">
        <v>163.3379597</v>
      </c>
      <c r="NQ9" s="21">
        <v>154.65880722</v>
      </c>
      <c r="NR9" s="21">
        <v>570.82455814999992</v>
      </c>
      <c r="NS9" s="21">
        <v>320.503987</v>
      </c>
      <c r="NT9" s="21">
        <v>330.13994164999997</v>
      </c>
      <c r="NU9" s="21">
        <v>468.82879507000001</v>
      </c>
      <c r="NV9" s="21">
        <v>224.26231988000001</v>
      </c>
      <c r="NW9" s="21">
        <v>190.27438346000002</v>
      </c>
      <c r="NX9" s="21">
        <v>572.05950780000001</v>
      </c>
      <c r="NY9" s="21">
        <v>188.27356218</v>
      </c>
      <c r="NZ9" s="21">
        <v>99.184713210000012</v>
      </c>
      <c r="OA9" s="21">
        <v>99.184713210000012</v>
      </c>
      <c r="OB9" s="21">
        <v>966.20011269000008</v>
      </c>
      <c r="OC9" s="21">
        <v>580.89696304999995</v>
      </c>
      <c r="OD9" s="21">
        <v>352.86735520000002</v>
      </c>
      <c r="OE9" s="21">
        <v>598.00700941000002</v>
      </c>
      <c r="OF9" s="24">
        <v>738.92679702999999</v>
      </c>
      <c r="OG9" s="24">
        <v>444.66264758</v>
      </c>
      <c r="OH9" s="24">
        <v>295.63002252000001</v>
      </c>
      <c r="OI9" s="24">
        <v>438.20774248999999</v>
      </c>
      <c r="OJ9" s="24">
        <v>242.91668180999997</v>
      </c>
      <c r="OK9" s="24">
        <v>731.36377887000003</v>
      </c>
      <c r="OL9" s="24">
        <v>455.280528</v>
      </c>
      <c r="OM9" s="24">
        <v>214.97698799999998</v>
      </c>
      <c r="ON9" s="24">
        <v>238.42498635999999</v>
      </c>
      <c r="OO9" s="24">
        <v>139.05789892999999</v>
      </c>
      <c r="OP9" s="24">
        <v>478.66169282999999</v>
      </c>
      <c r="OQ9" s="24">
        <v>360.97914696000004</v>
      </c>
      <c r="OR9" s="24">
        <v>432.92879599999992</v>
      </c>
      <c r="OS9" s="24">
        <v>172.36823575</v>
      </c>
      <c r="OT9" s="24">
        <v>185.05328006999997</v>
      </c>
      <c r="OU9" s="24">
        <v>628.74477897999998</v>
      </c>
      <c r="OV9" s="24">
        <v>432.25544324000003</v>
      </c>
      <c r="OW9" s="24">
        <v>709.62355979999995</v>
      </c>
      <c r="OX9" s="24">
        <v>477.06865988999999</v>
      </c>
      <c r="OY9" s="24">
        <v>251.10982952000001</v>
      </c>
      <c r="OZ9" s="24">
        <v>1023.22617071</v>
      </c>
      <c r="PA9" s="24">
        <v>442.64515393999994</v>
      </c>
      <c r="PB9" s="24">
        <v>577.61028926000006</v>
      </c>
      <c r="PC9" s="24">
        <v>431.55750995</v>
      </c>
      <c r="PD9" s="24">
        <v>394.04752624000002</v>
      </c>
      <c r="PE9" s="24">
        <v>312.37022209999998</v>
      </c>
      <c r="PF9" s="24">
        <v>362.69412644999898</v>
      </c>
      <c r="PG9" s="24">
        <v>347.57704379</v>
      </c>
      <c r="PH9" s="24">
        <v>787.21692699000005</v>
      </c>
      <c r="PI9" s="24">
        <v>328.63702581000001</v>
      </c>
      <c r="PJ9" s="24">
        <v>428.82695546999997</v>
      </c>
      <c r="PK9" s="24">
        <v>451.68951123000005</v>
      </c>
      <c r="PL9" s="24">
        <v>419.10119481999999</v>
      </c>
      <c r="PM9" s="24">
        <v>554.62578351000002</v>
      </c>
      <c r="PN9" s="24">
        <v>593.60350683000001</v>
      </c>
      <c r="PO9" s="24">
        <v>585.49470121000002</v>
      </c>
      <c r="PP9" s="24">
        <v>203.68847086999904</v>
      </c>
      <c r="PQ9" s="24">
        <v>108.72234843</v>
      </c>
      <c r="PR9" s="24">
        <v>540.98403105</v>
      </c>
      <c r="PS9" s="24">
        <v>590.34276503000001</v>
      </c>
      <c r="PT9" s="24">
        <v>758.83477928000002</v>
      </c>
      <c r="PU9" s="24">
        <v>334.80976672999998</v>
      </c>
      <c r="PV9" s="24">
        <v>246.29175193999998</v>
      </c>
      <c r="PW9" s="24">
        <v>244.60933822999999</v>
      </c>
      <c r="PX9" s="24">
        <v>685.89334252000003</v>
      </c>
      <c r="PY9" s="24">
        <v>550.85714152000003</v>
      </c>
      <c r="PZ9" s="24">
        <v>503.05981388999891</v>
      </c>
      <c r="QA9" s="24">
        <v>704.55607341999996</v>
      </c>
      <c r="QB9" s="24">
        <v>704.55607341999996</v>
      </c>
      <c r="QC9" s="24">
        <v>431.35227766999998</v>
      </c>
      <c r="QD9" s="24">
        <v>521.74042460999999</v>
      </c>
      <c r="QE9" s="24">
        <v>423.41152312999998</v>
      </c>
      <c r="QF9" s="24">
        <v>649.99474152999994</v>
      </c>
      <c r="QG9" s="24">
        <v>440.43415388</v>
      </c>
      <c r="QH9" s="24">
        <v>26.963956129999996</v>
      </c>
      <c r="QI9" s="24">
        <v>788.32321730000001</v>
      </c>
      <c r="QJ9" s="24">
        <v>335.30398158999998</v>
      </c>
      <c r="QK9" s="24">
        <v>416.19501016000004</v>
      </c>
      <c r="QL9" s="24">
        <v>595.89839463999999</v>
      </c>
      <c r="QM9" s="24">
        <v>398.73514373</v>
      </c>
      <c r="QN9" s="24">
        <v>796.54113280000013</v>
      </c>
      <c r="QO9" s="24">
        <v>603.87648100000001</v>
      </c>
      <c r="QP9" s="24">
        <v>363.84204163000004</v>
      </c>
      <c r="QQ9" s="24">
        <v>418.53812899000002</v>
      </c>
      <c r="QR9" s="24">
        <v>418.53812899000002</v>
      </c>
      <c r="QS9" s="24">
        <v>478.39357633000003</v>
      </c>
      <c r="QT9" s="24">
        <v>812.62361128000009</v>
      </c>
      <c r="QU9" s="24">
        <v>558.13611923999997</v>
      </c>
      <c r="QV9" s="24">
        <v>543.52292369999998</v>
      </c>
      <c r="QW9" s="24">
        <v>480.83032789999993</v>
      </c>
      <c r="QX9" s="24">
        <v>754.88521956</v>
      </c>
      <c r="QY9" s="24">
        <v>770.27550949999988</v>
      </c>
      <c r="QZ9" s="24">
        <v>887.92543068999998</v>
      </c>
      <c r="RA9" s="24">
        <v>640.35151518000009</v>
      </c>
      <c r="RB9" s="24">
        <v>897.44073193000008</v>
      </c>
      <c r="RC9" s="24">
        <v>1154.50248012</v>
      </c>
      <c r="RD9" s="24">
        <v>889.88673045000007</v>
      </c>
      <c r="RE9" s="24">
        <v>895.22780816000011</v>
      </c>
      <c r="RF9" s="24">
        <v>2003.6944522799997</v>
      </c>
      <c r="RG9" s="24">
        <v>2003.6944522799997</v>
      </c>
      <c r="RH9" s="24">
        <v>646.43002533999993</v>
      </c>
      <c r="RI9" s="24">
        <v>913.63934422</v>
      </c>
      <c r="RJ9" s="24">
        <v>445.63832169</v>
      </c>
      <c r="RK9" s="24">
        <v>590.10572473000002</v>
      </c>
      <c r="RL9" s="24">
        <v>816.13009453999996</v>
      </c>
      <c r="RM9" s="24">
        <v>827.01081260000001</v>
      </c>
      <c r="RN9" s="24">
        <v>504.27460079999992</v>
      </c>
      <c r="RO9" s="24">
        <v>790.49459612999999</v>
      </c>
      <c r="RP9" s="24"/>
      <c r="RQ9" s="24"/>
      <c r="RR9" s="24"/>
      <c r="RS9" s="24"/>
      <c r="RT9" s="24"/>
      <c r="RU9" s="24"/>
      <c r="RV9" s="24"/>
      <c r="RW9" s="24"/>
      <c r="RX9" s="24"/>
      <c r="RY9" s="24"/>
      <c r="RZ9" s="24"/>
      <c r="SA9" s="24"/>
      <c r="SB9" s="24"/>
      <c r="SC9" s="24"/>
      <c r="SD9" s="24"/>
    </row>
    <row r="10" spans="1:498" ht="12" x14ac:dyDescent="0.3">
      <c r="A10" s="16">
        <v>6</v>
      </c>
      <c r="B10" s="20" t="s">
        <v>121</v>
      </c>
      <c r="C10" s="24">
        <v>596.965824</v>
      </c>
      <c r="D10" s="24">
        <v>522.72641999999996</v>
      </c>
      <c r="E10" s="24">
        <v>288.93256300000002</v>
      </c>
      <c r="F10" s="24">
        <v>402.96172399999995</v>
      </c>
      <c r="G10" s="24">
        <v>349.63315100000005</v>
      </c>
      <c r="H10" s="24">
        <v>305.71310700000004</v>
      </c>
      <c r="I10" s="24">
        <v>205.41307900000001</v>
      </c>
      <c r="J10" s="24">
        <v>232.992256</v>
      </c>
      <c r="K10" s="24">
        <v>297.437433</v>
      </c>
      <c r="L10" s="24">
        <v>406.95041300000003</v>
      </c>
      <c r="M10" s="24">
        <v>472.19988799999999</v>
      </c>
      <c r="N10" s="24">
        <v>399.03261600000002</v>
      </c>
      <c r="O10" s="24">
        <v>504.51000000000005</v>
      </c>
      <c r="P10" s="24">
        <v>373.32450999999998</v>
      </c>
      <c r="Q10" s="24">
        <v>502.62653</v>
      </c>
      <c r="R10" s="24">
        <v>322.42297199999996</v>
      </c>
      <c r="S10" s="24">
        <v>343.07528399999995</v>
      </c>
      <c r="T10" s="24">
        <v>161.88295200000005</v>
      </c>
      <c r="U10" s="24">
        <v>374.47996799999999</v>
      </c>
      <c r="V10" s="24">
        <v>418.56705200000005</v>
      </c>
      <c r="W10" s="24">
        <v>205.93658299999993</v>
      </c>
      <c r="X10" s="24">
        <v>298.23977599999995</v>
      </c>
      <c r="Y10" s="24">
        <v>409.08680899999996</v>
      </c>
      <c r="Z10" s="24">
        <v>400.76066600000001</v>
      </c>
      <c r="AA10" s="24">
        <v>295.39474300000001</v>
      </c>
      <c r="AB10" s="24">
        <v>358.91184499999986</v>
      </c>
      <c r="AC10" s="24">
        <v>373.41490299999987</v>
      </c>
      <c r="AD10" s="24">
        <v>355.57693799999998</v>
      </c>
      <c r="AE10" s="24">
        <v>416.86634399999986</v>
      </c>
      <c r="AF10" s="24">
        <v>444.8561039999999</v>
      </c>
      <c r="AG10" s="24">
        <v>518.23013100000003</v>
      </c>
      <c r="AH10" s="24">
        <v>381.86119000000002</v>
      </c>
      <c r="AI10" s="24">
        <v>382.0363109999999</v>
      </c>
      <c r="AJ10" s="24">
        <v>334.8904859999999</v>
      </c>
      <c r="AK10" s="24">
        <v>367.22121299999986</v>
      </c>
      <c r="AL10" s="24">
        <v>301.97749900000008</v>
      </c>
      <c r="AM10" s="24">
        <v>225.00963500000012</v>
      </c>
      <c r="AN10" s="24">
        <v>337.25002699999999</v>
      </c>
      <c r="AO10" s="24">
        <v>258.40655699999985</v>
      </c>
      <c r="AP10" s="24">
        <v>316.37009400000011</v>
      </c>
      <c r="AQ10" s="24">
        <v>338.75826799999982</v>
      </c>
      <c r="AR10" s="24">
        <v>214.641212</v>
      </c>
      <c r="AS10" s="24">
        <v>162.68240700000013</v>
      </c>
      <c r="AT10" s="24">
        <v>416.50930599999987</v>
      </c>
      <c r="AU10" s="24">
        <v>342.622164</v>
      </c>
      <c r="AV10" s="24">
        <v>372.47169400000013</v>
      </c>
      <c r="AW10" s="24">
        <v>215.38260000000005</v>
      </c>
      <c r="AX10" s="24">
        <v>486.52641399999993</v>
      </c>
      <c r="AY10" s="24">
        <v>1428.6921689999999</v>
      </c>
      <c r="AZ10" s="24">
        <v>1048.6207150000002</v>
      </c>
      <c r="BA10" s="24">
        <v>1309.602674</v>
      </c>
      <c r="BB10" s="24">
        <v>1524.1760670000001</v>
      </c>
      <c r="BC10" s="24">
        <v>1240.1587769999999</v>
      </c>
      <c r="BD10" s="24">
        <v>1350.6247780000001</v>
      </c>
      <c r="BE10" s="24">
        <v>1371.6486239999997</v>
      </c>
      <c r="BF10" s="24">
        <v>1246.5866340000002</v>
      </c>
      <c r="BG10" s="24">
        <v>1409.5356859999999</v>
      </c>
      <c r="BH10" s="24">
        <v>1286.3777109999999</v>
      </c>
      <c r="BI10" s="24">
        <v>1300.824267</v>
      </c>
      <c r="BJ10" s="24">
        <v>1540.579524</v>
      </c>
      <c r="BK10" s="24">
        <v>1193.122288</v>
      </c>
      <c r="BL10" s="24">
        <v>1271.39094</v>
      </c>
      <c r="BM10" s="24">
        <v>944.5089210000001</v>
      </c>
      <c r="BN10" s="24">
        <v>695.28719699999999</v>
      </c>
      <c r="BO10" s="24">
        <v>811.885806</v>
      </c>
      <c r="BP10" s="24">
        <v>647.08574299999998</v>
      </c>
      <c r="BQ10" s="24">
        <v>692.66378199999997</v>
      </c>
      <c r="BR10" s="24">
        <v>574.99153200000001</v>
      </c>
      <c r="BS10" s="24">
        <v>533.53465900000003</v>
      </c>
      <c r="BT10" s="24">
        <v>577.64015400000005</v>
      </c>
      <c r="BU10" s="24">
        <v>758.94929900000011</v>
      </c>
      <c r="BV10" s="24">
        <v>982.22766000000001</v>
      </c>
      <c r="BW10" s="24">
        <v>560.65888000000007</v>
      </c>
      <c r="BX10" s="24">
        <v>539.93859200000009</v>
      </c>
      <c r="BY10" s="24">
        <v>345.30396500000001</v>
      </c>
      <c r="BZ10" s="24">
        <v>332.67605399999997</v>
      </c>
      <c r="CA10" s="24">
        <v>176.942621</v>
      </c>
      <c r="CB10" s="24">
        <v>305.18144899999999</v>
      </c>
      <c r="CC10" s="24">
        <v>200.24985500000003</v>
      </c>
      <c r="CD10" s="24">
        <v>212.70727300000004</v>
      </c>
      <c r="CE10" s="24">
        <v>411.431871</v>
      </c>
      <c r="CF10" s="24">
        <v>1255.9681</v>
      </c>
      <c r="CG10" s="24">
        <v>234.62153700000002</v>
      </c>
      <c r="CH10" s="24">
        <v>374.96744000000001</v>
      </c>
      <c r="CI10" s="24">
        <v>331.53868499999999</v>
      </c>
      <c r="CJ10" s="24">
        <v>166.98745700000003</v>
      </c>
      <c r="CK10" s="24">
        <v>351.80286700000005</v>
      </c>
      <c r="CL10" s="24">
        <v>285.35213500000003</v>
      </c>
      <c r="CM10" s="24">
        <v>292.37464999999997</v>
      </c>
      <c r="CN10" s="24">
        <v>178.90130500000001</v>
      </c>
      <c r="CO10" s="24">
        <v>61.891120999999998</v>
      </c>
      <c r="CP10" s="24">
        <v>332.00384299999996</v>
      </c>
      <c r="CQ10" s="24">
        <v>247.72897899999998</v>
      </c>
      <c r="CR10" s="24">
        <v>268.43707899999998</v>
      </c>
      <c r="CS10" s="24">
        <v>257.74046699999997</v>
      </c>
      <c r="CT10" s="24">
        <v>400.21731399999999</v>
      </c>
      <c r="CU10" s="24">
        <v>216.95760100000001</v>
      </c>
      <c r="CV10" s="24">
        <v>324.00963200000001</v>
      </c>
      <c r="CW10" s="24">
        <v>292.83497400000005</v>
      </c>
      <c r="CX10" s="24">
        <v>158.13064</v>
      </c>
      <c r="CY10" s="24">
        <v>281.26312100000001</v>
      </c>
      <c r="CZ10" s="24">
        <v>157.81519</v>
      </c>
      <c r="DA10" s="24">
        <v>175.255437</v>
      </c>
      <c r="DB10" s="24">
        <v>453.65219200000001</v>
      </c>
      <c r="DC10" s="24">
        <v>188.30799300000001</v>
      </c>
      <c r="DD10" s="24">
        <v>233.34553499999998</v>
      </c>
      <c r="DE10" s="24">
        <v>157.85686799999999</v>
      </c>
      <c r="DF10" s="24">
        <v>229.00630199999998</v>
      </c>
      <c r="DG10" s="24">
        <v>305.70592299999998</v>
      </c>
      <c r="DH10" s="24">
        <v>601.74766299999999</v>
      </c>
      <c r="DI10" s="24">
        <v>364.52107799999999</v>
      </c>
      <c r="DJ10" s="30">
        <v>359.83765700000004</v>
      </c>
      <c r="DK10" s="30">
        <v>558.61086400000011</v>
      </c>
      <c r="DL10" s="30">
        <v>352.508285</v>
      </c>
      <c r="DM10" s="30">
        <v>385.446732</v>
      </c>
      <c r="DN10" s="30">
        <v>212.68105299999999</v>
      </c>
      <c r="DO10" s="30">
        <v>299.06046500000002</v>
      </c>
      <c r="DP10" s="30">
        <v>313.39405499999998</v>
      </c>
      <c r="DQ10" s="30">
        <v>288.70776000000001</v>
      </c>
      <c r="DR10" s="30">
        <v>277.48153999999994</v>
      </c>
      <c r="DS10" s="30">
        <v>372.15231399999999</v>
      </c>
      <c r="DT10" s="30">
        <v>342.50833800000004</v>
      </c>
      <c r="DU10" s="30">
        <v>377.63880200000006</v>
      </c>
      <c r="DV10" s="30">
        <v>235.87488400000001</v>
      </c>
      <c r="DW10" s="30">
        <v>480.47452699999997</v>
      </c>
      <c r="DX10" s="30">
        <v>720.62075399999981</v>
      </c>
      <c r="DY10" s="30">
        <v>439.03816399999999</v>
      </c>
      <c r="DZ10" s="30">
        <v>346.11435</v>
      </c>
      <c r="EA10" s="30">
        <v>543.41185900000005</v>
      </c>
      <c r="EB10" s="30">
        <v>222.27131499999999</v>
      </c>
      <c r="EC10" s="30">
        <v>608.98832900000002</v>
      </c>
      <c r="ED10" s="30">
        <v>676.14374900000007</v>
      </c>
      <c r="EE10" s="30">
        <v>523.89387799999997</v>
      </c>
      <c r="EF10" s="30">
        <v>658.60189200000013</v>
      </c>
      <c r="EG10" s="30">
        <v>262.788749</v>
      </c>
      <c r="EH10" s="30">
        <v>250.34494199999997</v>
      </c>
      <c r="EI10" s="30">
        <v>500.92828799999995</v>
      </c>
      <c r="EJ10" s="30">
        <v>500.92828799999995</v>
      </c>
      <c r="EK10" s="30">
        <v>439.15361300000001</v>
      </c>
      <c r="EL10" s="30">
        <v>519.09597699999995</v>
      </c>
      <c r="EM10" s="30">
        <v>846.48076300000002</v>
      </c>
      <c r="EN10" s="30">
        <v>411.48940600000003</v>
      </c>
      <c r="EO10" s="30">
        <v>450.201708</v>
      </c>
      <c r="EP10" s="30">
        <v>518.234104</v>
      </c>
      <c r="EQ10" s="30">
        <v>539.58033799999987</v>
      </c>
      <c r="ER10" s="30">
        <v>418.42834499999998</v>
      </c>
      <c r="ES10" s="30">
        <v>325.67374799999999</v>
      </c>
      <c r="ET10" s="30">
        <v>358.07507599999997</v>
      </c>
      <c r="EU10" s="30">
        <v>386.84133200000002</v>
      </c>
      <c r="EV10" s="30">
        <v>461.44988000000001</v>
      </c>
      <c r="EW10" s="30">
        <v>501.59228300000001</v>
      </c>
      <c r="EX10" s="30">
        <v>382.37982099999999</v>
      </c>
      <c r="EY10" s="30">
        <v>565.56799799999999</v>
      </c>
      <c r="EZ10" s="30">
        <v>606.35619599999995</v>
      </c>
      <c r="FA10" s="30">
        <v>636.42406200000005</v>
      </c>
      <c r="FB10" s="30">
        <v>522.30326000000014</v>
      </c>
      <c r="FC10" s="30">
        <v>650.64122699999996</v>
      </c>
      <c r="FD10" s="30">
        <v>590.23922900000002</v>
      </c>
      <c r="FE10" s="30">
        <v>600.64098200000001</v>
      </c>
      <c r="FF10" s="30">
        <v>679.34963400000015</v>
      </c>
      <c r="FG10" s="30">
        <v>588.33072400000003</v>
      </c>
      <c r="FH10" s="30">
        <v>554.22125599999993</v>
      </c>
      <c r="FI10" s="30">
        <v>554.22125599999993</v>
      </c>
      <c r="FJ10" s="30">
        <v>545.9424029999999</v>
      </c>
      <c r="FK10" s="30">
        <v>584.20115499999997</v>
      </c>
      <c r="FL10" s="30">
        <v>401.88052000000005</v>
      </c>
      <c r="FM10" s="30">
        <v>344.34230299999996</v>
      </c>
      <c r="FN10" s="30">
        <v>446.90001100000001</v>
      </c>
      <c r="FO10" s="30">
        <v>477.94367400000004</v>
      </c>
      <c r="FP10" s="30">
        <v>421.59670199999999</v>
      </c>
      <c r="FQ10" s="30">
        <v>521.31259</v>
      </c>
      <c r="FR10" s="30">
        <v>1302.8380440000001</v>
      </c>
      <c r="FS10" s="30">
        <v>218.35215199999999</v>
      </c>
      <c r="FT10" s="30">
        <v>258.92601999999999</v>
      </c>
      <c r="FU10" s="30">
        <v>198.23921299999998</v>
      </c>
      <c r="FV10" s="30">
        <v>283.48308800000001</v>
      </c>
      <c r="FW10" s="30">
        <v>375.745745</v>
      </c>
      <c r="FX10" s="30">
        <v>375.745745</v>
      </c>
      <c r="FY10" s="30">
        <v>286.53945900000002</v>
      </c>
      <c r="FZ10" s="30">
        <v>265.91233899999997</v>
      </c>
      <c r="GA10" s="30">
        <v>221.80187100000001</v>
      </c>
      <c r="GB10" s="30">
        <v>254.65443300000001</v>
      </c>
      <c r="GC10" s="30">
        <v>254.65443300000001</v>
      </c>
      <c r="GD10" s="30">
        <v>220.51828800000004</v>
      </c>
      <c r="GE10" s="30">
        <v>385.24147899999997</v>
      </c>
      <c r="GF10" s="30">
        <v>212.00885200000002</v>
      </c>
      <c r="GG10" s="30">
        <v>226.76759300000001</v>
      </c>
      <c r="GH10" s="30">
        <v>155.94066000000001</v>
      </c>
      <c r="GI10" s="30">
        <v>236.73581899999999</v>
      </c>
      <c r="GJ10" s="30">
        <v>302.14357699999999</v>
      </c>
      <c r="GK10" s="30">
        <v>287.385648</v>
      </c>
      <c r="GL10" s="30">
        <v>297.87176400000004</v>
      </c>
      <c r="GM10" s="30">
        <v>297.87176400000004</v>
      </c>
      <c r="GN10" s="30">
        <v>226.03487100000001</v>
      </c>
      <c r="GO10" s="30">
        <v>364.005245</v>
      </c>
      <c r="GP10" s="30">
        <v>309.42647799999997</v>
      </c>
      <c r="GQ10" s="30">
        <v>137.01645300000001</v>
      </c>
      <c r="GR10" s="30">
        <v>128.091241</v>
      </c>
      <c r="GS10" s="30">
        <v>253.26472700000002</v>
      </c>
      <c r="GT10" s="30">
        <v>197.74239899999998</v>
      </c>
      <c r="GU10" s="30">
        <v>194.989091</v>
      </c>
      <c r="GV10" s="30">
        <v>408.51613400000002</v>
      </c>
      <c r="GW10" s="21">
        <v>261.56796699999995</v>
      </c>
      <c r="GX10" s="21">
        <v>212.85234800000001</v>
      </c>
      <c r="GY10" s="21">
        <v>155.76550800000001</v>
      </c>
      <c r="GZ10" s="21">
        <v>392.288095</v>
      </c>
      <c r="HA10" s="21">
        <v>247.88658499999997</v>
      </c>
      <c r="HB10" s="21">
        <v>218.812353</v>
      </c>
      <c r="HC10" s="21">
        <v>218.812353</v>
      </c>
      <c r="HD10" s="21">
        <v>175.272717</v>
      </c>
      <c r="HE10" s="21">
        <v>176.46378099999998</v>
      </c>
      <c r="HF10" s="21">
        <v>131.62387099999998</v>
      </c>
      <c r="HG10" s="21">
        <v>233.33494899999999</v>
      </c>
      <c r="HH10" s="21">
        <v>199.84593900000002</v>
      </c>
      <c r="HI10" s="21">
        <v>154.52402699999999</v>
      </c>
      <c r="HJ10" s="21">
        <v>307.233858</v>
      </c>
      <c r="HK10" s="21">
        <v>131.77379699999997</v>
      </c>
      <c r="HL10" s="21">
        <v>152.70007599999997</v>
      </c>
      <c r="HM10" s="21">
        <v>204.60164500000002</v>
      </c>
      <c r="HN10" s="21">
        <v>493.11936899999995</v>
      </c>
      <c r="HO10" s="21">
        <v>251.74760600000002</v>
      </c>
      <c r="HP10" s="21">
        <v>414.85526700000003</v>
      </c>
      <c r="HQ10" s="21">
        <v>127.04870500000001</v>
      </c>
      <c r="HR10" s="21">
        <v>169.67159099999998</v>
      </c>
      <c r="HS10" s="21">
        <v>169.67159099999998</v>
      </c>
      <c r="HT10" s="21">
        <v>214.58908499999998</v>
      </c>
      <c r="HU10" s="21">
        <v>175.63249800000003</v>
      </c>
      <c r="HV10" s="21">
        <v>187.46333500000003</v>
      </c>
      <c r="HW10" s="21">
        <v>140.089788</v>
      </c>
      <c r="HX10" s="21">
        <v>223.11439299999998</v>
      </c>
      <c r="HY10" s="21">
        <v>408.78072700000001</v>
      </c>
      <c r="HZ10" s="21">
        <v>600.45955800000002</v>
      </c>
      <c r="IA10" s="21">
        <v>303.22373699999997</v>
      </c>
      <c r="IB10" s="21">
        <v>733.83398699999998</v>
      </c>
      <c r="IC10" s="21">
        <v>184.15067599999998</v>
      </c>
      <c r="ID10" s="21">
        <v>184.15857199999999</v>
      </c>
      <c r="IE10" s="21">
        <v>349.93961800000011</v>
      </c>
      <c r="IF10" s="21">
        <v>467.14078900000004</v>
      </c>
      <c r="IG10" s="21">
        <v>402.81324000000001</v>
      </c>
      <c r="IH10" s="21">
        <v>285.43912399999999</v>
      </c>
      <c r="II10" s="21">
        <v>454.45420199999995</v>
      </c>
      <c r="IJ10" s="21">
        <v>412.70280499999996</v>
      </c>
      <c r="IK10" s="21">
        <v>337.82360900000003</v>
      </c>
      <c r="IL10" s="21">
        <v>446.67252200000001</v>
      </c>
      <c r="IM10" s="21">
        <v>217.76591999999999</v>
      </c>
      <c r="IN10" s="21">
        <v>217.76591999999999</v>
      </c>
      <c r="IO10" s="21">
        <v>777.78644400000007</v>
      </c>
      <c r="IP10" s="21">
        <v>452.42297399999995</v>
      </c>
      <c r="IQ10" s="21">
        <v>336.14673499999992</v>
      </c>
      <c r="IR10" s="21">
        <v>252.30998600000001</v>
      </c>
      <c r="IS10" s="21">
        <v>239.15393900000001</v>
      </c>
      <c r="IT10" s="21">
        <v>212.89145200000002</v>
      </c>
      <c r="IU10" s="21">
        <v>216.99468599999997</v>
      </c>
      <c r="IV10" s="21">
        <v>303.14668600000005</v>
      </c>
      <c r="IW10" s="21">
        <v>238.84367000000003</v>
      </c>
      <c r="IX10" s="21">
        <v>406.63011700000004</v>
      </c>
      <c r="IY10" s="21">
        <v>406.63011700000004</v>
      </c>
      <c r="IZ10" s="21">
        <v>433.13329899999997</v>
      </c>
      <c r="JA10" s="21">
        <v>188.51366599999997</v>
      </c>
      <c r="JB10" s="21">
        <v>335.50701699999996</v>
      </c>
      <c r="JC10" s="21">
        <v>287.61483299999998</v>
      </c>
      <c r="JD10" s="21">
        <v>148.72041100000001</v>
      </c>
      <c r="JE10" s="21">
        <v>155.12406800000002</v>
      </c>
      <c r="JF10" s="21">
        <v>326.55130999999994</v>
      </c>
      <c r="JG10" s="21">
        <v>452.28704400000004</v>
      </c>
      <c r="JH10" s="21">
        <v>496.92899799999992</v>
      </c>
      <c r="JI10" s="21">
        <v>384.87064000000004</v>
      </c>
      <c r="JJ10" s="21">
        <v>320.568084</v>
      </c>
      <c r="JK10" s="21">
        <v>387.334923</v>
      </c>
      <c r="JL10" s="21">
        <v>266.20782899999995</v>
      </c>
      <c r="JM10" s="21">
        <v>310.61256800000001</v>
      </c>
      <c r="JN10" s="21">
        <v>186.08174400000001</v>
      </c>
      <c r="JO10" s="21">
        <v>186.08174400000001</v>
      </c>
      <c r="JP10" s="21">
        <v>332.77876700000002</v>
      </c>
      <c r="JQ10" s="21">
        <v>446.41372300000006</v>
      </c>
      <c r="JR10" s="21">
        <v>164.059303</v>
      </c>
      <c r="JS10" s="21">
        <v>132.74192099999999</v>
      </c>
      <c r="JT10" s="21">
        <v>190.51026999999999</v>
      </c>
      <c r="JU10" s="21">
        <v>278.39242300000001</v>
      </c>
      <c r="JV10" s="21">
        <v>300.35143899999997</v>
      </c>
      <c r="JW10" s="21">
        <v>215.422695</v>
      </c>
      <c r="JX10" s="21">
        <v>164.615227</v>
      </c>
      <c r="JY10" s="21">
        <v>207.10719900000001</v>
      </c>
      <c r="JZ10" s="21">
        <v>99.824281999999982</v>
      </c>
      <c r="KA10" s="21">
        <v>257.04749299999997</v>
      </c>
      <c r="KB10" s="21">
        <v>200.969877</v>
      </c>
      <c r="KC10" s="21">
        <v>203.63539800000001</v>
      </c>
      <c r="KD10" s="21">
        <v>447.61439100000007</v>
      </c>
      <c r="KE10" s="21">
        <v>185.17263499999999</v>
      </c>
      <c r="KF10" s="21">
        <v>347.704519</v>
      </c>
      <c r="KG10" s="21">
        <v>493.707449</v>
      </c>
      <c r="KH10" s="21">
        <v>156.08816300000001</v>
      </c>
      <c r="KI10" s="21">
        <v>389.94637563000003</v>
      </c>
      <c r="KJ10" s="21">
        <v>398.01889642999998</v>
      </c>
      <c r="KK10" s="21">
        <v>268.48236885</v>
      </c>
      <c r="KL10" s="21">
        <v>147.85838655999999</v>
      </c>
      <c r="KM10" s="21">
        <v>613.00974709000002</v>
      </c>
      <c r="KN10" s="21">
        <v>345.9738284</v>
      </c>
      <c r="KO10" s="21">
        <v>345.9738284</v>
      </c>
      <c r="KP10" s="21">
        <v>248.90453405</v>
      </c>
      <c r="KQ10" s="21">
        <v>241.80421117</v>
      </c>
      <c r="KR10" s="21">
        <v>528.18308947000003</v>
      </c>
      <c r="KS10" s="21">
        <v>71.145861409999995</v>
      </c>
      <c r="KT10" s="21">
        <v>278.11510191999997</v>
      </c>
      <c r="KU10" s="21">
        <v>276.89890152999999</v>
      </c>
      <c r="KV10" s="21">
        <v>250.82080337000002</v>
      </c>
      <c r="KW10" s="21">
        <v>282.65249763999998</v>
      </c>
      <c r="KX10" s="21">
        <v>313.23529402999998</v>
      </c>
      <c r="KY10" s="21">
        <v>137.49887231</v>
      </c>
      <c r="KZ10" s="21">
        <v>183.27925307000001</v>
      </c>
      <c r="LA10" s="21">
        <v>259.89241521000002</v>
      </c>
      <c r="LB10" s="21">
        <v>156.70648869999997</v>
      </c>
      <c r="LC10" s="21">
        <v>109.47567909999998</v>
      </c>
      <c r="LD10" s="21">
        <v>509.56607109999999</v>
      </c>
      <c r="LE10" s="21">
        <v>271.19636071999997</v>
      </c>
      <c r="LF10" s="21">
        <v>244.97983560000003</v>
      </c>
      <c r="LG10" s="21">
        <v>221.11275921000001</v>
      </c>
      <c r="LH10" s="21">
        <v>93.238432869999997</v>
      </c>
      <c r="LI10" s="21">
        <v>93.238432869999997</v>
      </c>
      <c r="LJ10" s="21">
        <v>336.56622792000002</v>
      </c>
      <c r="LK10" s="21">
        <v>357.97692205000004</v>
      </c>
      <c r="LL10" s="21">
        <v>440.53972949999996</v>
      </c>
      <c r="LM10" s="21">
        <v>324.65790645999999</v>
      </c>
      <c r="LN10" s="21">
        <v>344.43990536000001</v>
      </c>
      <c r="LO10" s="21">
        <v>76.276886659999988</v>
      </c>
      <c r="LP10" s="21">
        <v>381.65430494999998</v>
      </c>
      <c r="LQ10" s="21">
        <v>331.08448348000002</v>
      </c>
      <c r="LR10" s="21">
        <v>580.59222691000002</v>
      </c>
      <c r="LS10" s="21">
        <v>543.75265689000003</v>
      </c>
      <c r="LT10" s="21">
        <v>504.37296087000004</v>
      </c>
      <c r="LU10" s="21">
        <v>497.03532585000005</v>
      </c>
      <c r="LV10" s="21">
        <v>303.16494585000004</v>
      </c>
      <c r="LW10" s="21">
        <v>171.46617986000001</v>
      </c>
      <c r="LX10" s="21">
        <v>355.85991855999998</v>
      </c>
      <c r="LY10" s="21">
        <v>616.68692909999993</v>
      </c>
      <c r="LZ10" s="21">
        <v>609.85020579000013</v>
      </c>
      <c r="MA10" s="21">
        <v>805.31675898999993</v>
      </c>
      <c r="MB10" s="21">
        <v>805.79638889</v>
      </c>
      <c r="MC10" s="21">
        <v>385.55224368000012</v>
      </c>
      <c r="MD10" s="21">
        <v>547.78130625999893</v>
      </c>
      <c r="ME10" s="21">
        <v>398.99853272000007</v>
      </c>
      <c r="MF10" s="21">
        <v>866.16211605000001</v>
      </c>
      <c r="MG10" s="21">
        <v>525.66777062000006</v>
      </c>
      <c r="MH10" s="21">
        <v>294.43668726999999</v>
      </c>
      <c r="MI10" s="21">
        <v>294.43668726999999</v>
      </c>
      <c r="MJ10" s="21">
        <v>484.28171867999896</v>
      </c>
      <c r="MK10" s="21">
        <v>646.53374372999997</v>
      </c>
      <c r="ML10" s="21">
        <v>366.05403784999999</v>
      </c>
      <c r="MM10" s="21">
        <v>323.37995165000001</v>
      </c>
      <c r="MN10" s="21">
        <v>448.11378090000005</v>
      </c>
      <c r="MO10" s="21">
        <v>451.83253922000006</v>
      </c>
      <c r="MP10" s="21">
        <v>621.85468952999997</v>
      </c>
      <c r="MQ10" s="21">
        <v>619.65588870000011</v>
      </c>
      <c r="MR10" s="21">
        <v>279.08301506999999</v>
      </c>
      <c r="MS10" s="21">
        <v>241.34783592999997</v>
      </c>
      <c r="MT10" s="21">
        <v>416.21648143000004</v>
      </c>
      <c r="MU10" s="21">
        <v>480.75982582</v>
      </c>
      <c r="MV10" s="21">
        <v>292.48188947999995</v>
      </c>
      <c r="MW10" s="21">
        <v>392.69356517</v>
      </c>
      <c r="MX10" s="21">
        <v>425.21249955999997</v>
      </c>
      <c r="MY10" s="21">
        <v>425.21249955999997</v>
      </c>
      <c r="MZ10" s="21">
        <v>413.74444817</v>
      </c>
      <c r="NA10" s="21">
        <v>731.46526722999999</v>
      </c>
      <c r="NB10" s="21">
        <v>145.00408111000002</v>
      </c>
      <c r="NC10" s="21">
        <v>188.06628925999996</v>
      </c>
      <c r="ND10" s="21">
        <v>367.19132378000006</v>
      </c>
      <c r="NE10" s="21">
        <v>322.02025287999999</v>
      </c>
      <c r="NF10" s="21">
        <v>355.33556953999994</v>
      </c>
      <c r="NG10" s="21">
        <v>179.74767133999998</v>
      </c>
      <c r="NH10" s="21">
        <v>399.57036668000001</v>
      </c>
      <c r="NI10" s="21">
        <v>299.50487749000001</v>
      </c>
      <c r="NJ10" s="21">
        <v>90.255582989999994</v>
      </c>
      <c r="NK10" s="21">
        <v>109.94024799</v>
      </c>
      <c r="NL10" s="21">
        <v>70.302224370000019</v>
      </c>
      <c r="NM10" s="21">
        <v>70.302224370000019</v>
      </c>
      <c r="NN10" s="21">
        <v>375.83363936999996</v>
      </c>
      <c r="NO10" s="21">
        <v>436.69721182999996</v>
      </c>
      <c r="NP10" s="21">
        <v>163.3379597</v>
      </c>
      <c r="NQ10" s="21">
        <v>154.65880722</v>
      </c>
      <c r="NR10" s="21">
        <v>570.82455814999992</v>
      </c>
      <c r="NS10" s="21">
        <v>320.503987</v>
      </c>
      <c r="NT10" s="21">
        <v>330.13994164999997</v>
      </c>
      <c r="NU10" s="21">
        <v>468.82879507000001</v>
      </c>
      <c r="NV10" s="21">
        <v>224.26231988000001</v>
      </c>
      <c r="NW10" s="21">
        <v>190.27438346000002</v>
      </c>
      <c r="NX10" s="21">
        <v>572.05950780000001</v>
      </c>
      <c r="NY10" s="21">
        <v>188.27356218</v>
      </c>
      <c r="NZ10" s="21">
        <v>99.184713210000012</v>
      </c>
      <c r="OA10" s="21">
        <v>99.184713210000012</v>
      </c>
      <c r="OB10" s="21">
        <v>966.20011269000008</v>
      </c>
      <c r="OC10" s="21">
        <v>580.89696304999995</v>
      </c>
      <c r="OD10" s="21">
        <v>352.86735520000002</v>
      </c>
      <c r="OE10" s="21">
        <v>598.00700941000002</v>
      </c>
      <c r="OF10" s="24">
        <v>738.92679702999999</v>
      </c>
      <c r="OG10" s="24">
        <v>444.66264758</v>
      </c>
      <c r="OH10" s="24">
        <v>295.63002252000001</v>
      </c>
      <c r="OI10" s="24">
        <v>438.20774248999999</v>
      </c>
      <c r="OJ10" s="24">
        <v>242.91668180999997</v>
      </c>
      <c r="OK10" s="24">
        <v>731.36377887000003</v>
      </c>
      <c r="OL10" s="24">
        <v>455.280528</v>
      </c>
      <c r="OM10" s="24">
        <v>214.97698799999998</v>
      </c>
      <c r="ON10" s="24">
        <v>238.42498635999999</v>
      </c>
      <c r="OO10" s="24">
        <v>139.05789892999999</v>
      </c>
      <c r="OP10" s="24">
        <v>478.66169282999999</v>
      </c>
      <c r="OQ10" s="24">
        <v>360.97914696000004</v>
      </c>
      <c r="OR10" s="24">
        <v>432.92879599999992</v>
      </c>
      <c r="OS10" s="24">
        <v>172.36823575</v>
      </c>
      <c r="OT10" s="24">
        <v>185.05328006999997</v>
      </c>
      <c r="OU10" s="24">
        <v>628.74477897999998</v>
      </c>
      <c r="OV10" s="24">
        <v>432.25544324000003</v>
      </c>
      <c r="OW10" s="24">
        <v>709.62355979999995</v>
      </c>
      <c r="OX10" s="24">
        <v>477.06865988999999</v>
      </c>
      <c r="OY10" s="24">
        <v>251.10982952000001</v>
      </c>
      <c r="OZ10" s="24">
        <v>1023.22617071</v>
      </c>
      <c r="PA10" s="24">
        <v>442.64515393999994</v>
      </c>
      <c r="PB10" s="24">
        <v>577.61028926000006</v>
      </c>
      <c r="PC10" s="24">
        <v>431.55750995</v>
      </c>
      <c r="PD10" s="24">
        <v>394.04752624000002</v>
      </c>
      <c r="PE10" s="24">
        <v>312.37022209999998</v>
      </c>
      <c r="PF10" s="24">
        <v>362.69412644999898</v>
      </c>
      <c r="PG10" s="24">
        <v>347.57704379</v>
      </c>
      <c r="PH10" s="24">
        <v>787.21692699000005</v>
      </c>
      <c r="PI10" s="24">
        <v>328.63702581000001</v>
      </c>
      <c r="PJ10" s="24">
        <v>428.82695546999997</v>
      </c>
      <c r="PK10" s="24">
        <v>451.68951123000005</v>
      </c>
      <c r="PL10" s="24">
        <v>419.10119481999999</v>
      </c>
      <c r="PM10" s="24">
        <v>554.62578351000002</v>
      </c>
      <c r="PN10" s="24">
        <v>593.60350683000001</v>
      </c>
      <c r="PO10" s="24">
        <v>585.49470121000002</v>
      </c>
      <c r="PP10" s="24">
        <v>203.68847086999904</v>
      </c>
      <c r="PQ10" s="24">
        <v>108.72234843</v>
      </c>
      <c r="PR10" s="24">
        <v>540.98403105</v>
      </c>
      <c r="PS10" s="24">
        <v>590.34276503000001</v>
      </c>
      <c r="PT10" s="24">
        <v>758.83477928000002</v>
      </c>
      <c r="PU10" s="24">
        <v>334.80976672999998</v>
      </c>
      <c r="PV10" s="24">
        <v>246.29175193999998</v>
      </c>
      <c r="PW10" s="24">
        <v>244.60933822999999</v>
      </c>
      <c r="PX10" s="24">
        <v>685.89334252000003</v>
      </c>
      <c r="PY10" s="24">
        <v>550.85714152000003</v>
      </c>
      <c r="PZ10" s="24">
        <v>503.05981388999891</v>
      </c>
      <c r="QA10" s="24">
        <v>704.55607341999996</v>
      </c>
      <c r="QB10" s="24">
        <v>704.55607341999996</v>
      </c>
      <c r="QC10" s="24">
        <v>431.35227766999998</v>
      </c>
      <c r="QD10" s="24">
        <v>521.74042460999999</v>
      </c>
      <c r="QE10" s="24">
        <v>423.41152312999998</v>
      </c>
      <c r="QF10" s="24">
        <v>649.99474152999994</v>
      </c>
      <c r="QG10" s="24">
        <v>440.43415388</v>
      </c>
      <c r="QH10" s="24">
        <v>26.963956129999996</v>
      </c>
      <c r="QI10" s="24">
        <v>788.32321730000001</v>
      </c>
      <c r="QJ10" s="24">
        <v>335.30398158999998</v>
      </c>
      <c r="QK10" s="24">
        <v>416.19501016000004</v>
      </c>
      <c r="QL10" s="24">
        <v>595.89839463999999</v>
      </c>
      <c r="QM10" s="24">
        <v>398.73514373</v>
      </c>
      <c r="QN10" s="24">
        <v>796.54113280000013</v>
      </c>
      <c r="QO10" s="24">
        <v>603.87648100000001</v>
      </c>
      <c r="QP10" s="24">
        <v>363.84204163000004</v>
      </c>
      <c r="QQ10" s="24">
        <v>418.53812899000002</v>
      </c>
      <c r="QR10" s="24">
        <v>418.53812899000002</v>
      </c>
      <c r="QS10" s="24">
        <v>478.39357633000003</v>
      </c>
      <c r="QT10" s="24">
        <v>812.62361128000009</v>
      </c>
      <c r="QU10" s="24">
        <v>558.13611923999997</v>
      </c>
      <c r="QV10" s="24">
        <v>543.52292369999998</v>
      </c>
      <c r="QW10" s="24">
        <v>480.83032789999993</v>
      </c>
      <c r="QX10" s="24">
        <v>754.88521956</v>
      </c>
      <c r="QY10" s="24">
        <v>770.27550949999988</v>
      </c>
      <c r="QZ10" s="24">
        <v>887.92543068999998</v>
      </c>
      <c r="RA10" s="24">
        <v>640.35151518000009</v>
      </c>
      <c r="RB10" s="24">
        <v>897.44073193000008</v>
      </c>
      <c r="RC10" s="24">
        <v>1154.50248012</v>
      </c>
      <c r="RD10" s="24">
        <v>889.88673045000007</v>
      </c>
      <c r="RE10" s="24">
        <v>895.22780816000011</v>
      </c>
      <c r="RF10" s="24">
        <v>2003.6944522799997</v>
      </c>
      <c r="RG10" s="24">
        <v>2003.6944522799997</v>
      </c>
      <c r="RH10" s="24">
        <v>646.43002533999993</v>
      </c>
      <c r="RI10" s="24">
        <v>913.63934422</v>
      </c>
      <c r="RJ10" s="24">
        <v>445.63832169</v>
      </c>
      <c r="RK10" s="24">
        <v>590.10572473000002</v>
      </c>
      <c r="RL10" s="24">
        <v>816.13009453999996</v>
      </c>
      <c r="RM10" s="24">
        <v>827.01081260000001</v>
      </c>
      <c r="RN10" s="24">
        <v>504.27460079999992</v>
      </c>
      <c r="RO10" s="24">
        <v>790.49459612999999</v>
      </c>
      <c r="RP10" s="24"/>
      <c r="RQ10" s="24"/>
      <c r="RR10" s="24"/>
      <c r="RS10" s="24"/>
      <c r="RT10" s="24"/>
      <c r="RU10" s="24"/>
      <c r="RV10" s="24"/>
      <c r="RW10" s="24"/>
      <c r="RX10" s="24"/>
      <c r="RY10" s="24"/>
      <c r="RZ10" s="24"/>
      <c r="SA10" s="24"/>
      <c r="SB10" s="24"/>
      <c r="SC10" s="24"/>
      <c r="SD10" s="24"/>
    </row>
    <row r="11" spans="1:498" ht="12" x14ac:dyDescent="0.3">
      <c r="A11" s="16">
        <v>7</v>
      </c>
      <c r="B11" s="20" t="s">
        <v>122</v>
      </c>
      <c r="C11" s="24">
        <v>0</v>
      </c>
      <c r="D11" s="24">
        <v>0</v>
      </c>
      <c r="E11" s="24">
        <v>0</v>
      </c>
      <c r="F11" s="24">
        <v>0</v>
      </c>
      <c r="G11" s="24">
        <v>0</v>
      </c>
      <c r="H11" s="24">
        <v>0</v>
      </c>
      <c r="I11" s="24">
        <v>0</v>
      </c>
      <c r="J11" s="24">
        <v>0</v>
      </c>
      <c r="K11" s="24">
        <v>0</v>
      </c>
      <c r="L11" s="24">
        <v>0</v>
      </c>
      <c r="M11" s="24">
        <v>0</v>
      </c>
      <c r="N11" s="24">
        <v>0</v>
      </c>
      <c r="O11" s="24">
        <v>0</v>
      </c>
      <c r="P11" s="24">
        <v>0</v>
      </c>
      <c r="Q11" s="24">
        <v>0</v>
      </c>
      <c r="R11" s="24">
        <v>0</v>
      </c>
      <c r="S11" s="24">
        <v>0</v>
      </c>
      <c r="T11" s="24">
        <v>0</v>
      </c>
      <c r="U11" s="24">
        <v>0</v>
      </c>
      <c r="V11" s="24">
        <v>0</v>
      </c>
      <c r="W11" s="24">
        <v>0</v>
      </c>
      <c r="X11" s="24">
        <v>0</v>
      </c>
      <c r="Y11" s="24">
        <v>0</v>
      </c>
      <c r="Z11" s="24">
        <v>0</v>
      </c>
      <c r="AA11" s="24">
        <v>0</v>
      </c>
      <c r="AB11" s="24">
        <v>0</v>
      </c>
      <c r="AC11" s="24">
        <v>0</v>
      </c>
      <c r="AD11" s="24">
        <v>0</v>
      </c>
      <c r="AE11" s="24">
        <v>0</v>
      </c>
      <c r="AF11" s="24">
        <v>0</v>
      </c>
      <c r="AG11" s="24">
        <v>0</v>
      </c>
      <c r="AH11" s="24">
        <v>0</v>
      </c>
      <c r="AI11" s="24">
        <v>0</v>
      </c>
      <c r="AJ11" s="24">
        <v>0</v>
      </c>
      <c r="AK11" s="24">
        <v>0</v>
      </c>
      <c r="AL11" s="24">
        <v>0</v>
      </c>
      <c r="AM11" s="24">
        <v>0</v>
      </c>
      <c r="AN11" s="24">
        <v>0</v>
      </c>
      <c r="AO11" s="24">
        <v>0</v>
      </c>
      <c r="AP11" s="24">
        <v>0</v>
      </c>
      <c r="AQ11" s="24">
        <v>0</v>
      </c>
      <c r="AR11" s="24">
        <v>0</v>
      </c>
      <c r="AS11" s="24">
        <v>0</v>
      </c>
      <c r="AT11" s="24">
        <v>0</v>
      </c>
      <c r="AU11" s="24">
        <v>0</v>
      </c>
      <c r="AV11" s="24">
        <v>0</v>
      </c>
      <c r="AW11" s="24">
        <v>0</v>
      </c>
      <c r="AX11" s="24">
        <v>0</v>
      </c>
      <c r="AY11" s="24">
        <v>0</v>
      </c>
      <c r="AZ11" s="24">
        <v>0</v>
      </c>
      <c r="BA11" s="24">
        <v>0</v>
      </c>
      <c r="BB11" s="24">
        <v>0</v>
      </c>
      <c r="BC11" s="24">
        <v>0</v>
      </c>
      <c r="BD11" s="24">
        <v>0</v>
      </c>
      <c r="BE11" s="24">
        <v>0</v>
      </c>
      <c r="BF11" s="24">
        <v>0</v>
      </c>
      <c r="BG11" s="24">
        <v>0</v>
      </c>
      <c r="BH11" s="24">
        <v>0</v>
      </c>
      <c r="BI11" s="24">
        <v>0</v>
      </c>
      <c r="BJ11" s="24">
        <v>0</v>
      </c>
      <c r="BK11" s="24">
        <v>0</v>
      </c>
      <c r="BL11" s="24">
        <v>0</v>
      </c>
      <c r="BM11" s="24">
        <v>0</v>
      </c>
      <c r="BN11" s="24">
        <v>0</v>
      </c>
      <c r="BO11" s="24">
        <v>0</v>
      </c>
      <c r="BP11" s="24">
        <v>0</v>
      </c>
      <c r="BQ11" s="24">
        <v>0</v>
      </c>
      <c r="BR11" s="24">
        <v>0</v>
      </c>
      <c r="BS11" s="24">
        <v>0</v>
      </c>
      <c r="BT11" s="24">
        <v>0</v>
      </c>
      <c r="BU11" s="24">
        <v>0</v>
      </c>
      <c r="BV11" s="24">
        <v>0</v>
      </c>
      <c r="BW11" s="24">
        <v>0</v>
      </c>
      <c r="BX11" s="24">
        <v>0</v>
      </c>
      <c r="BY11" s="24">
        <v>0</v>
      </c>
      <c r="BZ11" s="24">
        <v>0</v>
      </c>
      <c r="CA11" s="24">
        <v>0</v>
      </c>
      <c r="CB11" s="24">
        <v>0</v>
      </c>
      <c r="CC11" s="24">
        <v>0</v>
      </c>
      <c r="CD11" s="24">
        <v>0</v>
      </c>
      <c r="CE11" s="24">
        <v>0</v>
      </c>
      <c r="CF11" s="24">
        <v>0</v>
      </c>
      <c r="CG11" s="24">
        <v>0</v>
      </c>
      <c r="CH11" s="24">
        <v>0</v>
      </c>
      <c r="CI11" s="24">
        <v>0</v>
      </c>
      <c r="CJ11" s="24">
        <v>0</v>
      </c>
      <c r="CK11" s="24">
        <v>0</v>
      </c>
      <c r="CL11" s="24">
        <v>0</v>
      </c>
      <c r="CM11" s="24">
        <v>0</v>
      </c>
      <c r="CN11" s="24">
        <v>0</v>
      </c>
      <c r="CO11" s="24">
        <v>0</v>
      </c>
      <c r="CP11" s="24">
        <v>0</v>
      </c>
      <c r="CQ11" s="24">
        <v>0</v>
      </c>
      <c r="CR11" s="24">
        <v>0</v>
      </c>
      <c r="CS11" s="24">
        <v>0</v>
      </c>
      <c r="CT11" s="24">
        <v>0</v>
      </c>
      <c r="CU11" s="24">
        <v>0</v>
      </c>
      <c r="CV11" s="24">
        <v>0</v>
      </c>
      <c r="CW11" s="24">
        <v>0</v>
      </c>
      <c r="CX11" s="24">
        <v>0</v>
      </c>
      <c r="CY11" s="24">
        <v>0</v>
      </c>
      <c r="CZ11" s="24">
        <v>0</v>
      </c>
      <c r="DA11" s="24">
        <v>0</v>
      </c>
      <c r="DB11" s="24">
        <v>0</v>
      </c>
      <c r="DC11" s="24">
        <v>0</v>
      </c>
      <c r="DD11" s="24">
        <v>0</v>
      </c>
      <c r="DE11" s="24">
        <v>0</v>
      </c>
      <c r="DF11" s="24">
        <v>0</v>
      </c>
      <c r="DG11" s="24">
        <v>0</v>
      </c>
      <c r="DH11" s="24">
        <v>0</v>
      </c>
      <c r="DI11" s="24">
        <v>0</v>
      </c>
      <c r="DJ11" s="30">
        <v>0</v>
      </c>
      <c r="DK11" s="30">
        <v>0</v>
      </c>
      <c r="DL11" s="30">
        <v>0</v>
      </c>
      <c r="DM11" s="30">
        <v>0</v>
      </c>
      <c r="DN11" s="30">
        <v>0</v>
      </c>
      <c r="DO11" s="30">
        <v>0</v>
      </c>
      <c r="DP11" s="30">
        <v>0</v>
      </c>
      <c r="DQ11" s="30">
        <v>0</v>
      </c>
      <c r="DR11" s="30">
        <v>0</v>
      </c>
      <c r="DS11" s="30">
        <v>0</v>
      </c>
      <c r="DT11" s="30">
        <v>0</v>
      </c>
      <c r="DU11" s="30">
        <v>0</v>
      </c>
      <c r="DV11" s="30">
        <v>0</v>
      </c>
      <c r="DW11" s="30">
        <v>0</v>
      </c>
      <c r="DX11" s="30">
        <v>0</v>
      </c>
      <c r="DY11" s="30">
        <v>0</v>
      </c>
      <c r="DZ11" s="30">
        <v>0</v>
      </c>
      <c r="EA11" s="30">
        <v>0</v>
      </c>
      <c r="EB11" s="30">
        <v>0</v>
      </c>
      <c r="EC11" s="30">
        <v>0</v>
      </c>
      <c r="ED11" s="30">
        <v>0</v>
      </c>
      <c r="EE11" s="30">
        <v>0</v>
      </c>
      <c r="EF11" s="30">
        <v>0</v>
      </c>
      <c r="EG11" s="30">
        <v>0</v>
      </c>
      <c r="EH11" s="30">
        <v>0</v>
      </c>
      <c r="EI11" s="30">
        <v>0</v>
      </c>
      <c r="EJ11" s="30">
        <v>0</v>
      </c>
      <c r="EK11" s="30">
        <v>0</v>
      </c>
      <c r="EL11" s="30">
        <v>0</v>
      </c>
      <c r="EM11" s="30">
        <v>0</v>
      </c>
      <c r="EN11" s="30">
        <v>0</v>
      </c>
      <c r="EO11" s="30">
        <v>0</v>
      </c>
      <c r="EP11" s="30">
        <v>0</v>
      </c>
      <c r="EQ11" s="30">
        <v>0</v>
      </c>
      <c r="ER11" s="30">
        <v>0</v>
      </c>
      <c r="ES11" s="30">
        <v>0</v>
      </c>
      <c r="ET11" s="30">
        <v>0</v>
      </c>
      <c r="EU11" s="30">
        <v>0</v>
      </c>
      <c r="EV11" s="30">
        <v>0</v>
      </c>
      <c r="EW11" s="30">
        <v>0</v>
      </c>
      <c r="EX11" s="30">
        <v>0</v>
      </c>
      <c r="EY11" s="30">
        <v>0</v>
      </c>
      <c r="EZ11" s="30">
        <v>0</v>
      </c>
      <c r="FA11" s="30">
        <v>0</v>
      </c>
      <c r="FB11" s="30">
        <v>0</v>
      </c>
      <c r="FC11" s="30">
        <v>0</v>
      </c>
      <c r="FD11" s="30">
        <v>0</v>
      </c>
      <c r="FE11" s="30">
        <v>0</v>
      </c>
      <c r="FF11" s="30">
        <v>0</v>
      </c>
      <c r="FG11" s="30">
        <v>0</v>
      </c>
      <c r="FH11" s="30">
        <v>0</v>
      </c>
      <c r="FI11" s="30">
        <v>0</v>
      </c>
      <c r="FJ11" s="30">
        <v>0</v>
      </c>
      <c r="FK11" s="30">
        <v>0</v>
      </c>
      <c r="FL11" s="30">
        <v>0</v>
      </c>
      <c r="FM11" s="30">
        <v>0</v>
      </c>
      <c r="FN11" s="30">
        <v>0</v>
      </c>
      <c r="FO11" s="30">
        <v>0</v>
      </c>
      <c r="FP11" s="30">
        <v>0</v>
      </c>
      <c r="FQ11" s="30">
        <v>0</v>
      </c>
      <c r="FR11" s="30">
        <v>0</v>
      </c>
      <c r="FS11" s="30">
        <v>0</v>
      </c>
      <c r="FT11" s="30">
        <v>0</v>
      </c>
      <c r="FU11" s="30">
        <v>0</v>
      </c>
      <c r="FV11" s="30">
        <v>0</v>
      </c>
      <c r="FW11" s="30">
        <v>0</v>
      </c>
      <c r="FX11" s="30">
        <v>0</v>
      </c>
      <c r="FY11" s="30">
        <v>0</v>
      </c>
      <c r="FZ11" s="30">
        <v>0</v>
      </c>
      <c r="GA11" s="30">
        <v>0</v>
      </c>
      <c r="GB11" s="30">
        <v>0</v>
      </c>
      <c r="GC11" s="30">
        <v>0</v>
      </c>
      <c r="GD11" s="30">
        <v>0</v>
      </c>
      <c r="GE11" s="30">
        <v>0</v>
      </c>
      <c r="GF11" s="30">
        <v>0</v>
      </c>
      <c r="GG11" s="30">
        <v>0</v>
      </c>
      <c r="GH11" s="30">
        <v>0</v>
      </c>
      <c r="GI11" s="30">
        <v>0</v>
      </c>
      <c r="GJ11" s="30">
        <v>0</v>
      </c>
      <c r="GK11" s="30">
        <v>0</v>
      </c>
      <c r="GL11" s="30">
        <v>0</v>
      </c>
      <c r="GM11" s="30">
        <v>0</v>
      </c>
      <c r="GN11" s="30">
        <v>0</v>
      </c>
      <c r="GO11" s="30">
        <v>0</v>
      </c>
      <c r="GP11" s="30">
        <v>0</v>
      </c>
      <c r="GQ11" s="30">
        <v>0</v>
      </c>
      <c r="GR11" s="30">
        <v>0</v>
      </c>
      <c r="GS11" s="30">
        <v>0</v>
      </c>
      <c r="GT11" s="30">
        <v>0</v>
      </c>
      <c r="GU11" s="30">
        <v>0</v>
      </c>
      <c r="GV11" s="30">
        <v>0</v>
      </c>
      <c r="GW11" s="21">
        <v>0</v>
      </c>
      <c r="GX11" s="21">
        <v>0</v>
      </c>
      <c r="GY11" s="21">
        <v>0</v>
      </c>
      <c r="GZ11" s="21">
        <v>0</v>
      </c>
      <c r="HA11" s="21">
        <v>0</v>
      </c>
      <c r="HB11" s="21">
        <v>0</v>
      </c>
      <c r="HC11" s="21">
        <v>0</v>
      </c>
      <c r="HD11" s="21">
        <v>0</v>
      </c>
      <c r="HE11" s="21">
        <v>0</v>
      </c>
      <c r="HF11" s="21">
        <v>0</v>
      </c>
      <c r="HG11" s="21">
        <v>0</v>
      </c>
      <c r="HH11" s="21">
        <v>0</v>
      </c>
      <c r="HI11" s="21">
        <v>0</v>
      </c>
      <c r="HJ11" s="21">
        <v>0</v>
      </c>
      <c r="HK11" s="21">
        <v>0</v>
      </c>
      <c r="HL11" s="21">
        <v>0</v>
      </c>
      <c r="HM11" s="21">
        <v>0</v>
      </c>
      <c r="HN11" s="21">
        <v>0</v>
      </c>
      <c r="HO11" s="21">
        <v>0</v>
      </c>
      <c r="HP11" s="21">
        <v>0</v>
      </c>
      <c r="HQ11" s="21">
        <v>0</v>
      </c>
      <c r="HR11" s="21">
        <v>0</v>
      </c>
      <c r="HS11" s="21">
        <v>0</v>
      </c>
      <c r="HT11" s="21">
        <v>0</v>
      </c>
      <c r="HU11" s="21">
        <v>0</v>
      </c>
      <c r="HV11" s="21">
        <v>0</v>
      </c>
      <c r="HW11" s="21">
        <v>0</v>
      </c>
      <c r="HX11" s="21">
        <v>0</v>
      </c>
      <c r="HY11" s="21">
        <v>0</v>
      </c>
      <c r="HZ11" s="21">
        <v>0</v>
      </c>
      <c r="IA11" s="21">
        <v>0</v>
      </c>
      <c r="IB11" s="21">
        <v>0</v>
      </c>
      <c r="IC11" s="21">
        <v>0</v>
      </c>
      <c r="ID11" s="21">
        <v>0</v>
      </c>
      <c r="IE11" s="21">
        <v>0</v>
      </c>
      <c r="IF11" s="21">
        <v>0</v>
      </c>
      <c r="IG11" s="21">
        <v>0</v>
      </c>
      <c r="IH11" s="21">
        <v>0</v>
      </c>
      <c r="II11" s="21">
        <v>0</v>
      </c>
      <c r="IJ11" s="21">
        <v>0</v>
      </c>
      <c r="IK11" s="21">
        <v>0</v>
      </c>
      <c r="IL11" s="21">
        <v>0</v>
      </c>
      <c r="IM11" s="21">
        <v>0</v>
      </c>
      <c r="IN11" s="21">
        <v>0</v>
      </c>
      <c r="IO11" s="21">
        <v>0</v>
      </c>
      <c r="IP11" s="21">
        <v>0</v>
      </c>
      <c r="IQ11" s="21">
        <v>0</v>
      </c>
      <c r="IR11" s="21">
        <v>0</v>
      </c>
      <c r="IS11" s="21">
        <v>0</v>
      </c>
      <c r="IT11" s="21">
        <v>0</v>
      </c>
      <c r="IU11" s="21">
        <v>0</v>
      </c>
      <c r="IV11" s="21">
        <v>0</v>
      </c>
      <c r="IW11" s="21">
        <v>0</v>
      </c>
      <c r="IX11" s="21">
        <v>0</v>
      </c>
      <c r="IY11" s="21">
        <v>0</v>
      </c>
      <c r="IZ11" s="21">
        <v>0</v>
      </c>
      <c r="JA11" s="21">
        <v>0</v>
      </c>
      <c r="JB11" s="21">
        <v>0</v>
      </c>
      <c r="JC11" s="21">
        <v>0</v>
      </c>
      <c r="JD11" s="21">
        <v>0</v>
      </c>
      <c r="JE11" s="21">
        <v>0</v>
      </c>
      <c r="JF11" s="21">
        <v>0</v>
      </c>
      <c r="JG11" s="21">
        <v>0</v>
      </c>
      <c r="JH11" s="21">
        <v>0</v>
      </c>
      <c r="JI11" s="21">
        <v>0</v>
      </c>
      <c r="JJ11" s="21">
        <v>0</v>
      </c>
      <c r="JK11" s="21">
        <v>0</v>
      </c>
      <c r="JL11" s="21">
        <v>0</v>
      </c>
      <c r="JM11" s="21">
        <v>0</v>
      </c>
      <c r="JN11" s="21">
        <v>0</v>
      </c>
      <c r="JO11" s="21">
        <v>0</v>
      </c>
      <c r="JP11" s="21">
        <v>0</v>
      </c>
      <c r="JQ11" s="21">
        <v>0</v>
      </c>
      <c r="JR11" s="21">
        <v>0</v>
      </c>
      <c r="JS11" s="21">
        <v>0</v>
      </c>
      <c r="JT11" s="21">
        <v>0</v>
      </c>
      <c r="JU11" s="21">
        <v>0</v>
      </c>
      <c r="JV11" s="21">
        <v>0</v>
      </c>
      <c r="JW11" s="21">
        <v>0</v>
      </c>
      <c r="JX11" s="21">
        <v>0</v>
      </c>
      <c r="JY11" s="21">
        <v>0</v>
      </c>
      <c r="JZ11" s="21">
        <v>0</v>
      </c>
      <c r="KA11" s="21">
        <v>0</v>
      </c>
      <c r="KB11" s="21">
        <v>0</v>
      </c>
      <c r="KC11" s="21">
        <v>0</v>
      </c>
      <c r="KD11" s="21">
        <v>0</v>
      </c>
      <c r="KE11" s="21">
        <v>0</v>
      </c>
      <c r="KF11" s="21">
        <v>0</v>
      </c>
      <c r="KG11" s="21">
        <v>0</v>
      </c>
      <c r="KH11" s="21">
        <v>0</v>
      </c>
      <c r="KI11" s="21">
        <v>0</v>
      </c>
      <c r="KJ11" s="21">
        <v>0</v>
      </c>
      <c r="KK11" s="21">
        <v>0</v>
      </c>
      <c r="KL11" s="21">
        <v>0</v>
      </c>
      <c r="KM11" s="21">
        <v>0</v>
      </c>
      <c r="KN11" s="21">
        <v>0</v>
      </c>
      <c r="KO11" s="21">
        <v>0</v>
      </c>
      <c r="KP11" s="21">
        <v>0</v>
      </c>
      <c r="KQ11" s="21">
        <v>0</v>
      </c>
      <c r="KR11" s="21">
        <v>0</v>
      </c>
      <c r="KS11" s="21">
        <v>0</v>
      </c>
      <c r="KT11" s="21">
        <v>0</v>
      </c>
      <c r="KU11" s="21">
        <v>0</v>
      </c>
      <c r="KV11" s="21">
        <v>0</v>
      </c>
      <c r="KW11" s="21">
        <v>0</v>
      </c>
      <c r="KX11" s="21">
        <v>0</v>
      </c>
      <c r="KY11" s="21">
        <v>0</v>
      </c>
      <c r="KZ11" s="21">
        <v>0</v>
      </c>
      <c r="LA11" s="21">
        <v>0</v>
      </c>
      <c r="LB11" s="21">
        <v>0</v>
      </c>
      <c r="LC11" s="21">
        <v>0</v>
      </c>
      <c r="LD11" s="21">
        <v>0</v>
      </c>
      <c r="LE11" s="21">
        <v>0</v>
      </c>
      <c r="LF11" s="21">
        <v>0</v>
      </c>
      <c r="LG11" s="21">
        <v>0</v>
      </c>
      <c r="LH11" s="21">
        <v>0</v>
      </c>
      <c r="LI11" s="21">
        <v>0</v>
      </c>
      <c r="LJ11" s="21">
        <v>0</v>
      </c>
      <c r="LK11" s="21">
        <v>0</v>
      </c>
      <c r="LL11" s="21">
        <v>0</v>
      </c>
      <c r="LM11" s="21">
        <v>0</v>
      </c>
      <c r="LN11" s="21">
        <v>0</v>
      </c>
      <c r="LO11" s="21">
        <v>0</v>
      </c>
      <c r="LP11" s="21">
        <v>0</v>
      </c>
      <c r="LQ11" s="21">
        <v>0</v>
      </c>
      <c r="LR11" s="21">
        <v>0</v>
      </c>
      <c r="LS11" s="21">
        <v>0</v>
      </c>
      <c r="LT11" s="21">
        <v>0</v>
      </c>
      <c r="LU11" s="21">
        <v>0</v>
      </c>
      <c r="LV11" s="21">
        <v>0</v>
      </c>
      <c r="LW11" s="21">
        <v>0</v>
      </c>
      <c r="LX11" s="21">
        <v>0</v>
      </c>
      <c r="LY11" s="21">
        <v>0</v>
      </c>
      <c r="LZ11" s="21">
        <v>0</v>
      </c>
      <c r="MA11" s="21">
        <v>0</v>
      </c>
      <c r="MB11" s="21">
        <v>0</v>
      </c>
      <c r="MC11" s="21">
        <v>0</v>
      </c>
      <c r="MD11" s="21">
        <v>0</v>
      </c>
      <c r="ME11" s="21">
        <v>0</v>
      </c>
      <c r="MF11" s="21">
        <v>0</v>
      </c>
      <c r="MG11" s="21">
        <v>0</v>
      </c>
      <c r="MH11" s="21">
        <v>0</v>
      </c>
      <c r="MI11" s="21">
        <v>0</v>
      </c>
      <c r="MJ11" s="21">
        <v>0</v>
      </c>
      <c r="MK11" s="21">
        <v>0</v>
      </c>
      <c r="ML11" s="21">
        <v>0</v>
      </c>
      <c r="MM11" s="21">
        <v>0</v>
      </c>
      <c r="MN11" s="21">
        <v>0</v>
      </c>
      <c r="MO11" s="21">
        <v>0</v>
      </c>
      <c r="MP11" s="21">
        <v>0</v>
      </c>
      <c r="MQ11" s="21">
        <v>0</v>
      </c>
      <c r="MR11" s="21">
        <v>0</v>
      </c>
      <c r="MS11" s="21">
        <v>0</v>
      </c>
      <c r="MT11" s="21">
        <v>0</v>
      </c>
      <c r="MU11" s="21">
        <v>0</v>
      </c>
      <c r="MV11" s="21">
        <v>0</v>
      </c>
      <c r="MW11" s="21">
        <v>0</v>
      </c>
      <c r="MX11" s="21">
        <v>0</v>
      </c>
      <c r="MY11" s="21">
        <v>0</v>
      </c>
      <c r="MZ11" s="21">
        <v>0</v>
      </c>
      <c r="NA11" s="21">
        <v>0</v>
      </c>
      <c r="NB11" s="21">
        <v>0</v>
      </c>
      <c r="NC11" s="21">
        <v>0</v>
      </c>
      <c r="ND11" s="21">
        <v>0</v>
      </c>
      <c r="NE11" s="21">
        <v>0</v>
      </c>
      <c r="NF11" s="21">
        <v>0</v>
      </c>
      <c r="NG11" s="21">
        <v>0</v>
      </c>
      <c r="NH11" s="21">
        <v>0</v>
      </c>
      <c r="NI11" s="21">
        <v>0</v>
      </c>
      <c r="NJ11" s="21">
        <v>0</v>
      </c>
      <c r="NK11" s="21">
        <v>0</v>
      </c>
      <c r="NL11" s="21">
        <v>0</v>
      </c>
      <c r="NM11" s="21">
        <v>0</v>
      </c>
      <c r="NN11" s="21">
        <v>0</v>
      </c>
      <c r="NO11" s="21">
        <v>0</v>
      </c>
      <c r="NP11" s="21">
        <v>0</v>
      </c>
      <c r="NQ11" s="21">
        <v>0</v>
      </c>
      <c r="NR11" s="21">
        <v>0</v>
      </c>
      <c r="NS11" s="21">
        <v>0</v>
      </c>
      <c r="NT11" s="21">
        <v>0</v>
      </c>
      <c r="NU11" s="21">
        <v>0</v>
      </c>
      <c r="NV11" s="21">
        <v>0</v>
      </c>
      <c r="NW11" s="21">
        <v>0</v>
      </c>
      <c r="NX11" s="21">
        <v>0</v>
      </c>
      <c r="NY11" s="21">
        <v>0</v>
      </c>
      <c r="NZ11" s="21">
        <v>0</v>
      </c>
      <c r="OA11" s="21">
        <v>0</v>
      </c>
      <c r="OB11" s="21">
        <v>0</v>
      </c>
      <c r="OC11" s="21">
        <v>0</v>
      </c>
      <c r="OD11" s="21">
        <v>0</v>
      </c>
      <c r="OE11" s="21">
        <v>0</v>
      </c>
      <c r="OF11" s="24">
        <v>0</v>
      </c>
      <c r="OG11" s="24">
        <v>0</v>
      </c>
      <c r="OH11" s="24">
        <v>0</v>
      </c>
      <c r="OI11" s="24">
        <v>0</v>
      </c>
      <c r="OJ11" s="24">
        <v>0</v>
      </c>
      <c r="OK11" s="24">
        <v>0</v>
      </c>
      <c r="OL11" s="24">
        <v>0</v>
      </c>
      <c r="OM11" s="24">
        <v>0</v>
      </c>
      <c r="ON11" s="24">
        <v>0</v>
      </c>
      <c r="OO11" s="24">
        <v>0</v>
      </c>
      <c r="OP11" s="24">
        <v>0</v>
      </c>
      <c r="OQ11" s="24">
        <v>0</v>
      </c>
      <c r="OR11" s="24">
        <v>0</v>
      </c>
      <c r="OS11" s="24">
        <v>0</v>
      </c>
      <c r="OT11" s="24">
        <v>0</v>
      </c>
      <c r="OU11" s="24">
        <v>0</v>
      </c>
      <c r="OV11" s="24">
        <v>0</v>
      </c>
      <c r="OW11" s="24">
        <v>0</v>
      </c>
      <c r="OX11" s="24">
        <v>0</v>
      </c>
      <c r="OY11" s="24">
        <v>0</v>
      </c>
      <c r="OZ11" s="24">
        <v>0</v>
      </c>
      <c r="PA11" s="24">
        <v>0</v>
      </c>
      <c r="PB11" s="24">
        <v>0</v>
      </c>
      <c r="PC11" s="24">
        <v>0</v>
      </c>
      <c r="PD11" s="24">
        <v>0</v>
      </c>
      <c r="PE11" s="24">
        <v>0</v>
      </c>
      <c r="PF11" s="24">
        <v>0</v>
      </c>
      <c r="PG11" s="24">
        <v>0</v>
      </c>
      <c r="PH11" s="24">
        <v>0</v>
      </c>
      <c r="PI11" s="24">
        <v>0</v>
      </c>
      <c r="PJ11" s="24">
        <v>0</v>
      </c>
      <c r="PK11" s="24">
        <v>0</v>
      </c>
      <c r="PL11" s="24">
        <v>0</v>
      </c>
      <c r="PM11" s="24">
        <v>0</v>
      </c>
      <c r="PN11" s="24">
        <v>0</v>
      </c>
      <c r="PO11" s="24">
        <v>0</v>
      </c>
      <c r="PP11" s="24">
        <v>0</v>
      </c>
      <c r="PQ11" s="24">
        <v>0</v>
      </c>
      <c r="PR11" s="24">
        <v>0</v>
      </c>
      <c r="PS11" s="24">
        <v>0</v>
      </c>
      <c r="PT11" s="24">
        <v>0</v>
      </c>
      <c r="PU11" s="24">
        <v>0</v>
      </c>
      <c r="PV11" s="24">
        <v>0</v>
      </c>
      <c r="PW11" s="24">
        <v>0</v>
      </c>
      <c r="PX11" s="24">
        <v>0</v>
      </c>
      <c r="PY11" s="24">
        <v>0</v>
      </c>
      <c r="PZ11" s="24">
        <v>0</v>
      </c>
      <c r="QA11" s="24">
        <v>0</v>
      </c>
      <c r="QB11" s="24">
        <v>0</v>
      </c>
      <c r="QC11" s="24">
        <v>0</v>
      </c>
      <c r="QD11" s="24">
        <v>0</v>
      </c>
      <c r="QE11" s="24">
        <v>0</v>
      </c>
      <c r="QF11" s="24">
        <v>0</v>
      </c>
      <c r="QG11" s="24">
        <v>0</v>
      </c>
      <c r="QH11" s="24">
        <v>0</v>
      </c>
      <c r="QI11" s="24">
        <v>0</v>
      </c>
      <c r="QJ11" s="24">
        <v>0</v>
      </c>
      <c r="QK11" s="24">
        <v>0</v>
      </c>
      <c r="QL11" s="24">
        <v>0</v>
      </c>
      <c r="QM11" s="24">
        <v>0</v>
      </c>
      <c r="QN11" s="24">
        <v>0</v>
      </c>
      <c r="QO11" s="24">
        <v>0</v>
      </c>
      <c r="QP11" s="24">
        <v>0</v>
      </c>
      <c r="QQ11" s="24">
        <v>0</v>
      </c>
      <c r="QR11" s="24">
        <v>0</v>
      </c>
      <c r="QS11" s="24">
        <v>0</v>
      </c>
      <c r="QT11" s="24">
        <v>0</v>
      </c>
      <c r="QU11" s="24">
        <v>0</v>
      </c>
      <c r="QV11" s="24">
        <v>0</v>
      </c>
      <c r="QW11" s="24">
        <v>0</v>
      </c>
      <c r="QX11" s="24">
        <v>0</v>
      </c>
      <c r="QY11" s="24">
        <v>0</v>
      </c>
      <c r="QZ11" s="24">
        <v>0</v>
      </c>
      <c r="RA11" s="24">
        <v>0</v>
      </c>
      <c r="RB11" s="24">
        <v>0</v>
      </c>
      <c r="RC11" s="24">
        <v>0</v>
      </c>
      <c r="RD11" s="24">
        <v>0</v>
      </c>
      <c r="RE11" s="24">
        <v>0</v>
      </c>
      <c r="RF11" s="24">
        <v>0</v>
      </c>
      <c r="RG11" s="24">
        <v>0</v>
      </c>
      <c r="RH11" s="24">
        <v>0</v>
      </c>
      <c r="RI11" s="24">
        <v>0</v>
      </c>
      <c r="RJ11" s="24">
        <v>0</v>
      </c>
      <c r="RK11" s="24">
        <v>0</v>
      </c>
      <c r="RL11" s="24">
        <v>0</v>
      </c>
      <c r="RM11" s="24">
        <v>0</v>
      </c>
      <c r="RN11" s="24">
        <v>0</v>
      </c>
      <c r="RO11" s="24">
        <v>0</v>
      </c>
      <c r="RP11" s="24"/>
      <c r="RQ11" s="24"/>
      <c r="RR11" s="24"/>
      <c r="RS11" s="24"/>
      <c r="RT11" s="24"/>
      <c r="RU11" s="24"/>
      <c r="RV11" s="24"/>
      <c r="RW11" s="24"/>
      <c r="RX11" s="24"/>
      <c r="RY11" s="24"/>
      <c r="RZ11" s="24"/>
      <c r="SA11" s="24"/>
      <c r="SB11" s="24"/>
      <c r="SC11" s="24"/>
      <c r="SD11" s="24"/>
    </row>
    <row r="12" spans="1:498" ht="12" x14ac:dyDescent="0.3">
      <c r="A12" s="16">
        <v>8</v>
      </c>
      <c r="B12" s="20" t="s">
        <v>123</v>
      </c>
      <c r="C12" s="24">
        <v>1890.6279</v>
      </c>
      <c r="D12" s="24">
        <v>1879.425624</v>
      </c>
      <c r="E12" s="24">
        <v>1786.516046</v>
      </c>
      <c r="F12" s="24">
        <v>2117.8014130000001</v>
      </c>
      <c r="G12" s="24">
        <v>2419.6165900000001</v>
      </c>
      <c r="H12" s="24">
        <v>2722.411744</v>
      </c>
      <c r="I12" s="24">
        <v>2355.1101640000002</v>
      </c>
      <c r="J12" s="24">
        <v>2147.3655469999999</v>
      </c>
      <c r="K12" s="24">
        <v>1683.1059849999999</v>
      </c>
      <c r="L12" s="24">
        <v>2101.856871</v>
      </c>
      <c r="M12" s="24">
        <v>1484.4366930000001</v>
      </c>
      <c r="N12" s="24">
        <v>1092.229145</v>
      </c>
      <c r="O12" s="24">
        <v>363.57</v>
      </c>
      <c r="P12" s="24">
        <v>939.76977799999997</v>
      </c>
      <c r="Q12" s="24">
        <v>1881.5307829999999</v>
      </c>
      <c r="R12" s="24">
        <v>1927.9561060000001</v>
      </c>
      <c r="S12" s="24">
        <v>1888.6785990000001</v>
      </c>
      <c r="T12" s="24">
        <v>1654.14427</v>
      </c>
      <c r="U12" s="24">
        <v>1653.3412510000001</v>
      </c>
      <c r="V12" s="24">
        <v>1711.695183</v>
      </c>
      <c r="W12" s="24">
        <v>1800.0084119999999</v>
      </c>
      <c r="X12" s="24">
        <v>1398.59104</v>
      </c>
      <c r="Y12" s="24">
        <v>2008.680386</v>
      </c>
      <c r="Z12" s="24">
        <v>1327.5362709999999</v>
      </c>
      <c r="AA12" s="24">
        <v>652.92124699999999</v>
      </c>
      <c r="AB12" s="24">
        <v>601.43521199999998</v>
      </c>
      <c r="AC12" s="24">
        <v>741.57425699999999</v>
      </c>
      <c r="AD12" s="24">
        <v>784.29377499999998</v>
      </c>
      <c r="AE12" s="24">
        <v>1320.6886629999999</v>
      </c>
      <c r="AF12" s="24">
        <v>1445.9560469999999</v>
      </c>
      <c r="AG12" s="24">
        <v>1359.24974</v>
      </c>
      <c r="AH12" s="24">
        <v>1760.590704</v>
      </c>
      <c r="AI12" s="24">
        <v>1925.3434540000001</v>
      </c>
      <c r="AJ12" s="24">
        <v>2373.0629439999998</v>
      </c>
      <c r="AK12" s="24">
        <v>1560.193569</v>
      </c>
      <c r="AL12" s="24">
        <v>644.77846299999999</v>
      </c>
      <c r="AM12" s="24">
        <v>0</v>
      </c>
      <c r="AN12" s="24">
        <v>292.568128</v>
      </c>
      <c r="AO12" s="24">
        <v>1683.9823879999999</v>
      </c>
      <c r="AP12" s="24">
        <v>1608.896395</v>
      </c>
      <c r="AQ12" s="24">
        <v>2093.5011290000002</v>
      </c>
      <c r="AR12" s="24">
        <v>1785.00603</v>
      </c>
      <c r="AS12" s="24">
        <v>1595.9544060000001</v>
      </c>
      <c r="AT12" s="24">
        <v>1508.7637420000001</v>
      </c>
      <c r="AU12" s="24">
        <v>1893.7228</v>
      </c>
      <c r="AV12" s="24">
        <v>1481.4848910000001</v>
      </c>
      <c r="AW12" s="24">
        <v>1680.774054</v>
      </c>
      <c r="AX12" s="24">
        <v>1210.522127</v>
      </c>
      <c r="AY12" s="24">
        <v>1299.064245</v>
      </c>
      <c r="AZ12" s="24">
        <v>1271.6667640000001</v>
      </c>
      <c r="BA12" s="24">
        <v>1175.2490539999999</v>
      </c>
      <c r="BB12" s="24">
        <v>691.43876899999998</v>
      </c>
      <c r="BC12" s="24">
        <v>578.54730300000006</v>
      </c>
      <c r="BD12" s="24">
        <v>1536.9501620000001</v>
      </c>
      <c r="BE12" s="24">
        <v>3270.2096379999998</v>
      </c>
      <c r="BF12" s="24">
        <v>3237.6753010000002</v>
      </c>
      <c r="BG12" s="24">
        <v>3656.617495</v>
      </c>
      <c r="BH12" s="24">
        <v>3581.822396</v>
      </c>
      <c r="BI12" s="24">
        <v>4384.0359570000001</v>
      </c>
      <c r="BJ12" s="24">
        <v>2788.9932960000001</v>
      </c>
      <c r="BK12" s="24">
        <v>1683.3240619999999</v>
      </c>
      <c r="BL12" s="24">
        <v>1116.1811130000001</v>
      </c>
      <c r="BM12" s="24">
        <v>1676.08707</v>
      </c>
      <c r="BN12" s="24">
        <v>1947.5800180000001</v>
      </c>
      <c r="BO12" s="24">
        <v>1563.2687100000001</v>
      </c>
      <c r="BP12" s="24">
        <v>2718.8358800000001</v>
      </c>
      <c r="BQ12" s="24">
        <v>2856.998192</v>
      </c>
      <c r="BR12" s="24">
        <v>3118.560986</v>
      </c>
      <c r="BS12" s="24">
        <v>2557.12039</v>
      </c>
      <c r="BT12" s="24">
        <v>1739.639588</v>
      </c>
      <c r="BU12" s="24">
        <v>1176.7060630000001</v>
      </c>
      <c r="BV12" s="24">
        <v>437.91067399999997</v>
      </c>
      <c r="BW12" s="24">
        <v>889.34836900000005</v>
      </c>
      <c r="BX12" s="24">
        <v>1454.248167</v>
      </c>
      <c r="BY12" s="24">
        <v>1860.131472</v>
      </c>
      <c r="BZ12" s="24">
        <v>1181.1884709999999</v>
      </c>
      <c r="CA12" s="24">
        <v>1464.5642829999999</v>
      </c>
      <c r="CB12" s="24">
        <v>894.30694500000004</v>
      </c>
      <c r="CC12" s="24">
        <v>2277.0155730000001</v>
      </c>
      <c r="CD12" s="24">
        <v>3156.9386140000001</v>
      </c>
      <c r="CE12" s="24">
        <v>2844.8742459999999</v>
      </c>
      <c r="CF12" s="24">
        <v>2179.6498609999999</v>
      </c>
      <c r="CG12" s="24">
        <v>2928.1467309999998</v>
      </c>
      <c r="CH12" s="24">
        <v>2242.4522360000001</v>
      </c>
      <c r="CI12" s="24">
        <v>3032.529736</v>
      </c>
      <c r="CJ12" s="24">
        <v>3652.4637029999999</v>
      </c>
      <c r="CK12" s="24">
        <v>2695.924833</v>
      </c>
      <c r="CL12" s="24">
        <v>1876.5276019999999</v>
      </c>
      <c r="CM12" s="24">
        <v>1305.970225</v>
      </c>
      <c r="CN12" s="24">
        <v>855.58242099999995</v>
      </c>
      <c r="CO12" s="24">
        <v>2780.5933129999999</v>
      </c>
      <c r="CP12" s="24">
        <v>2166.2638339999999</v>
      </c>
      <c r="CQ12" s="24">
        <v>1721.2198699999999</v>
      </c>
      <c r="CR12" s="24">
        <v>330.081208</v>
      </c>
      <c r="CS12" s="24">
        <v>3205.568839</v>
      </c>
      <c r="CT12" s="24">
        <v>2035.731839</v>
      </c>
      <c r="CU12" s="24">
        <v>973.91821499999992</v>
      </c>
      <c r="CV12" s="24">
        <v>3922.5008019999996</v>
      </c>
      <c r="CW12" s="24">
        <v>3660.5240409999997</v>
      </c>
      <c r="CX12" s="24">
        <v>3241.5947839999999</v>
      </c>
      <c r="CY12" s="24">
        <v>2643.951305</v>
      </c>
      <c r="CZ12" s="24">
        <v>2176.530346</v>
      </c>
      <c r="DA12" s="24">
        <v>1675.8573809999998</v>
      </c>
      <c r="DB12" s="24">
        <v>1438.285398</v>
      </c>
      <c r="DC12" s="24">
        <v>1474.2887599999999</v>
      </c>
      <c r="DD12" s="24">
        <v>1076.937314</v>
      </c>
      <c r="DE12" s="24">
        <v>1157.1524999999999</v>
      </c>
      <c r="DF12" s="24">
        <v>603.11929099999998</v>
      </c>
      <c r="DG12" s="24">
        <v>1607.4247740000001</v>
      </c>
      <c r="DH12" s="24">
        <v>1382.257102</v>
      </c>
      <c r="DI12" s="24">
        <v>1263.6018509999999</v>
      </c>
      <c r="DJ12" s="30">
        <v>2090.6137570000001</v>
      </c>
      <c r="DK12" s="30">
        <v>1529.303508</v>
      </c>
      <c r="DL12" s="30">
        <v>2173.558297</v>
      </c>
      <c r="DM12" s="30">
        <v>2264.5029509999999</v>
      </c>
      <c r="DN12" s="30">
        <v>1984.332367</v>
      </c>
      <c r="DO12" s="30">
        <v>1988.6710539999999</v>
      </c>
      <c r="DP12" s="30">
        <v>3105.0149970000002</v>
      </c>
      <c r="DQ12" s="30">
        <v>2189.7112520000001</v>
      </c>
      <c r="DR12" s="30">
        <v>1177.5241490000001</v>
      </c>
      <c r="DS12" s="30">
        <v>1409.1503929999999</v>
      </c>
      <c r="DT12" s="30">
        <v>1348.1920399999999</v>
      </c>
      <c r="DU12" s="30">
        <v>1071.4989700000001</v>
      </c>
      <c r="DV12" s="30">
        <v>930.50857700000006</v>
      </c>
      <c r="DW12" s="30">
        <v>726.00919399999998</v>
      </c>
      <c r="DX12" s="30">
        <v>425.26277299999992</v>
      </c>
      <c r="DY12" s="30">
        <v>403.9142710000001</v>
      </c>
      <c r="DZ12" s="30">
        <v>403.22502699999995</v>
      </c>
      <c r="EA12" s="30">
        <v>420.02836000000002</v>
      </c>
      <c r="EB12" s="30">
        <v>1004.909803</v>
      </c>
      <c r="EC12" s="30">
        <v>1179.6782430000001</v>
      </c>
      <c r="ED12" s="30">
        <v>794.4511379999999</v>
      </c>
      <c r="EE12" s="30">
        <v>821.59194400000001</v>
      </c>
      <c r="EF12" s="30">
        <v>1379.5904420000002</v>
      </c>
      <c r="EG12" s="30">
        <v>2178.379657</v>
      </c>
      <c r="EH12" s="30">
        <v>1695.1955360000002</v>
      </c>
      <c r="EI12" s="30">
        <v>1276.0762460000001</v>
      </c>
      <c r="EJ12" s="30">
        <v>1276.0762460000001</v>
      </c>
      <c r="EK12" s="30">
        <v>790.888778</v>
      </c>
      <c r="EL12" s="30">
        <v>609.18468099999996</v>
      </c>
      <c r="EM12" s="30">
        <v>515.73877900000002</v>
      </c>
      <c r="EN12" s="30">
        <v>206.78121400000001</v>
      </c>
      <c r="EO12" s="30">
        <v>380.00940800000001</v>
      </c>
      <c r="EP12" s="30">
        <v>410.01072499999998</v>
      </c>
      <c r="EQ12" s="30">
        <v>330.01842499999998</v>
      </c>
      <c r="ER12" s="30">
        <v>570.01770599999998</v>
      </c>
      <c r="ES12" s="30">
        <v>615.02381500000001</v>
      </c>
      <c r="ET12" s="30">
        <v>640.03056400000003</v>
      </c>
      <c r="EU12" s="30">
        <v>405.035484</v>
      </c>
      <c r="EV12" s="30">
        <v>640.04175699999996</v>
      </c>
      <c r="EW12" s="30">
        <v>629.28881200000001</v>
      </c>
      <c r="EX12" s="30">
        <v>809.29845799999998</v>
      </c>
      <c r="EY12" s="30">
        <v>689.29889700000001</v>
      </c>
      <c r="EZ12" s="30">
        <v>939.306286</v>
      </c>
      <c r="FA12" s="30">
        <v>1014.311879</v>
      </c>
      <c r="FB12" s="30">
        <v>719.31116899999995</v>
      </c>
      <c r="FC12" s="30">
        <v>699.31503199999997</v>
      </c>
      <c r="FD12" s="30">
        <v>509.31467600000002</v>
      </c>
      <c r="FE12" s="30">
        <v>2259.3137790000001</v>
      </c>
      <c r="FF12" s="30">
        <v>2236.5742270000001</v>
      </c>
      <c r="FG12" s="30">
        <v>2346.4444349999999</v>
      </c>
      <c r="FH12" s="30">
        <v>2303.9004279999999</v>
      </c>
      <c r="FI12" s="30">
        <v>2303.9004279999999</v>
      </c>
      <c r="FJ12" s="30">
        <v>2243.2720909999998</v>
      </c>
      <c r="FK12" s="30">
        <v>2493.0579659999999</v>
      </c>
      <c r="FL12" s="30">
        <v>2440.62977</v>
      </c>
      <c r="FM12" s="30">
        <v>2089.889095</v>
      </c>
      <c r="FN12" s="30">
        <v>1919.110739</v>
      </c>
      <c r="FO12" s="30">
        <v>2179.0214179999998</v>
      </c>
      <c r="FP12" s="30">
        <v>2371.2698099999998</v>
      </c>
      <c r="FQ12" s="30">
        <v>2239.962552</v>
      </c>
      <c r="FR12" s="30">
        <v>3468.2484239999999</v>
      </c>
      <c r="FS12" s="30">
        <v>4432.4309640000001</v>
      </c>
      <c r="FT12" s="30">
        <v>4419.2282409999998</v>
      </c>
      <c r="FU12" s="30">
        <v>4256.1779189999997</v>
      </c>
      <c r="FV12" s="30">
        <v>3918.3513889999999</v>
      </c>
      <c r="FW12" s="30">
        <v>3673.08842</v>
      </c>
      <c r="FX12" s="30">
        <v>3673.08842</v>
      </c>
      <c r="FY12" s="30">
        <v>3623.4859339999998</v>
      </c>
      <c r="FZ12" s="30">
        <v>3595.7178789999998</v>
      </c>
      <c r="GA12" s="30">
        <v>3473.4917529999998</v>
      </c>
      <c r="GB12" s="30">
        <v>3172.2065819999998</v>
      </c>
      <c r="GC12" s="30">
        <v>3172.2065819999998</v>
      </c>
      <c r="GD12" s="30">
        <v>3011.4261710000001</v>
      </c>
      <c r="GE12" s="30">
        <v>3130.2032290000002</v>
      </c>
      <c r="GF12" s="30">
        <v>3299.3857480000001</v>
      </c>
      <c r="GG12" s="30">
        <v>3137.251037</v>
      </c>
      <c r="GH12" s="30">
        <v>3293.823641</v>
      </c>
      <c r="GI12" s="30">
        <v>2887.6466249999999</v>
      </c>
      <c r="GJ12" s="30">
        <v>3267.7977380000002</v>
      </c>
      <c r="GK12" s="30">
        <v>3357.3966140000002</v>
      </c>
      <c r="GL12" s="30">
        <v>3038.4371590000001</v>
      </c>
      <c r="GM12" s="30">
        <v>3038.4371590000001</v>
      </c>
      <c r="GN12" s="30">
        <v>2967.102288</v>
      </c>
      <c r="GO12" s="30">
        <v>3337.6233590000002</v>
      </c>
      <c r="GP12" s="30">
        <v>3424.9859329999999</v>
      </c>
      <c r="GQ12" s="30">
        <v>3313.0216289999998</v>
      </c>
      <c r="GR12" s="30">
        <v>3312.6637540000002</v>
      </c>
      <c r="GS12" s="30">
        <v>3102.4966559999998</v>
      </c>
      <c r="GT12" s="30">
        <v>3584.562797</v>
      </c>
      <c r="GU12" s="30">
        <v>3774.5913890000002</v>
      </c>
      <c r="GV12" s="30">
        <v>3600.5866769999998</v>
      </c>
      <c r="GW12" s="21">
        <v>3521.3125289999998</v>
      </c>
      <c r="GX12" s="21">
        <v>3330.45235</v>
      </c>
      <c r="GY12" s="21">
        <v>3259.7494670000001</v>
      </c>
      <c r="GZ12" s="21">
        <v>3269.7278980000001</v>
      </c>
      <c r="HA12" s="21">
        <v>3064.6420750000002</v>
      </c>
      <c r="HB12" s="21">
        <v>2796.103619</v>
      </c>
      <c r="HC12" s="21">
        <v>2796.103619</v>
      </c>
      <c r="HD12" s="21">
        <v>2325.6426470000001</v>
      </c>
      <c r="HE12" s="21">
        <v>2787.2236579999999</v>
      </c>
      <c r="HF12" s="21">
        <v>2874.4219309999999</v>
      </c>
      <c r="HG12" s="21">
        <v>2340.0256880000002</v>
      </c>
      <c r="HH12" s="21">
        <v>2262.3851420000001</v>
      </c>
      <c r="HI12" s="21">
        <v>2812.3955080000001</v>
      </c>
      <c r="HJ12" s="21">
        <v>3988.5392230000002</v>
      </c>
      <c r="HK12" s="21">
        <v>4089.3730639999999</v>
      </c>
      <c r="HL12" s="21">
        <v>3743.90094</v>
      </c>
      <c r="HM12" s="21">
        <v>3768.1123170000001</v>
      </c>
      <c r="HN12" s="21">
        <v>4067.063678</v>
      </c>
      <c r="HO12" s="21">
        <v>4381.500814</v>
      </c>
      <c r="HP12" s="21">
        <v>4471.3444179999997</v>
      </c>
      <c r="HQ12" s="21">
        <v>4501.5700989999996</v>
      </c>
      <c r="HR12" s="21">
        <v>4942.2486730000001</v>
      </c>
      <c r="HS12" s="21">
        <v>4942.2486730000001</v>
      </c>
      <c r="HT12" s="21">
        <v>4801.3127130000003</v>
      </c>
      <c r="HU12" s="21">
        <v>5211.0878940000002</v>
      </c>
      <c r="HV12" s="21">
        <v>5479.0986039999998</v>
      </c>
      <c r="HW12" s="21">
        <v>5294.9221779999998</v>
      </c>
      <c r="HX12" s="21">
        <v>4912.5108559999999</v>
      </c>
      <c r="HY12" s="21">
        <v>4562.3528260000003</v>
      </c>
      <c r="HZ12" s="21">
        <v>4864.3951010000001</v>
      </c>
      <c r="IA12" s="21">
        <v>5394.5118190000003</v>
      </c>
      <c r="IB12" s="21">
        <v>5327.2650940000003</v>
      </c>
      <c r="IC12" s="21">
        <v>5376.5706700000001</v>
      </c>
      <c r="ID12" s="21">
        <v>5376.5706700000001</v>
      </c>
      <c r="IE12" s="21">
        <v>5476.2742820000003</v>
      </c>
      <c r="IF12" s="21">
        <v>5607.3054270000002</v>
      </c>
      <c r="IG12" s="21">
        <v>5447.1953869999998</v>
      </c>
      <c r="IH12" s="21">
        <v>5089.1747009999999</v>
      </c>
      <c r="II12" s="21">
        <v>4958.2687619999997</v>
      </c>
      <c r="IJ12" s="21">
        <v>5083.7741210000004</v>
      </c>
      <c r="IK12" s="21">
        <v>5619.1043069999996</v>
      </c>
      <c r="IL12" s="21">
        <v>5347.5107669999998</v>
      </c>
      <c r="IM12" s="21">
        <v>5349.4432429999997</v>
      </c>
      <c r="IN12" s="21">
        <v>5349.4432429999997</v>
      </c>
      <c r="IO12" s="21">
        <v>5529.6120359999995</v>
      </c>
      <c r="IP12" s="21">
        <v>6290.4612310000002</v>
      </c>
      <c r="IQ12" s="21">
        <v>6073.0531649999994</v>
      </c>
      <c r="IR12" s="21">
        <v>6212.5801459999993</v>
      </c>
      <c r="IS12" s="21">
        <v>6209.5883739999999</v>
      </c>
      <c r="IT12" s="21">
        <v>6259.3096449999994</v>
      </c>
      <c r="IU12" s="21">
        <v>6102.6655730000002</v>
      </c>
      <c r="IV12" s="21">
        <v>6137.6409129999993</v>
      </c>
      <c r="IW12" s="21">
        <v>5811.7766449999999</v>
      </c>
      <c r="IX12" s="21">
        <v>5298.109179</v>
      </c>
      <c r="IY12" s="21">
        <v>5298.109179</v>
      </c>
      <c r="IZ12" s="21">
        <v>5207.1385449999998</v>
      </c>
      <c r="JA12" s="21">
        <v>5636.561393</v>
      </c>
      <c r="JB12" s="21">
        <v>5628.0807860000004</v>
      </c>
      <c r="JC12" s="21">
        <v>5437.2135840000001</v>
      </c>
      <c r="JD12" s="21">
        <v>5294.4864010000001</v>
      </c>
      <c r="JE12" s="21">
        <v>4993.5744169999998</v>
      </c>
      <c r="JF12" s="21">
        <v>5562.635773</v>
      </c>
      <c r="JG12" s="21">
        <v>5509.0658800000001</v>
      </c>
      <c r="JH12" s="21">
        <v>4824.517441</v>
      </c>
      <c r="JI12" s="21">
        <v>5619.9906360000004</v>
      </c>
      <c r="JJ12" s="21">
        <v>5969.9656759999998</v>
      </c>
      <c r="JK12" s="21">
        <v>5886.6745849999998</v>
      </c>
      <c r="JL12" s="21">
        <v>6753.5487269999994</v>
      </c>
      <c r="JM12" s="21">
        <v>6651.727938</v>
      </c>
      <c r="JN12" s="21">
        <v>6257.8658990000004</v>
      </c>
      <c r="JO12" s="21">
        <v>6257.8658990000004</v>
      </c>
      <c r="JP12" s="21">
        <v>6072.4603469999993</v>
      </c>
      <c r="JQ12" s="21">
        <v>6431.5230380000003</v>
      </c>
      <c r="JR12" s="21">
        <v>6602.017202</v>
      </c>
      <c r="JS12" s="21">
        <v>6877.6563520000009</v>
      </c>
      <c r="JT12" s="21">
        <v>6440.794742</v>
      </c>
      <c r="JU12" s="21">
        <v>6339.103674</v>
      </c>
      <c r="JV12" s="21">
        <v>5707.7844009999999</v>
      </c>
      <c r="JW12" s="21">
        <v>6118.5247669999999</v>
      </c>
      <c r="JX12" s="21">
        <v>6305.8108020000009</v>
      </c>
      <c r="JY12" s="21">
        <v>5669.8328940000001</v>
      </c>
      <c r="JZ12" s="21">
        <v>5798.2453349999996</v>
      </c>
      <c r="KA12" s="21">
        <v>5804.6113160000004</v>
      </c>
      <c r="KB12" s="21">
        <v>5920.3940700000003</v>
      </c>
      <c r="KC12" s="21">
        <v>5235.5890790000003</v>
      </c>
      <c r="KD12" s="21">
        <v>5028.5938339999993</v>
      </c>
      <c r="KE12" s="21">
        <v>5224.7869129999999</v>
      </c>
      <c r="KF12" s="21">
        <v>5584.9084350000003</v>
      </c>
      <c r="KG12" s="21">
        <v>5695.6613400000006</v>
      </c>
      <c r="KH12" s="21">
        <v>5541.6625790000007</v>
      </c>
      <c r="KI12" s="21">
        <v>4843.96647011</v>
      </c>
      <c r="KJ12" s="21">
        <v>4440.2376450500005</v>
      </c>
      <c r="KK12" s="21">
        <v>4318.2757907499999</v>
      </c>
      <c r="KL12" s="21">
        <v>5437.2148599700004</v>
      </c>
      <c r="KM12" s="21">
        <v>5598.6778855000002</v>
      </c>
      <c r="KN12" s="21">
        <v>5590.1538831600001</v>
      </c>
      <c r="KO12" s="21">
        <v>5590.1538831600001</v>
      </c>
      <c r="KP12" s="21">
        <v>5460.2393164300001</v>
      </c>
      <c r="KQ12" s="21">
        <v>6015.4749784200003</v>
      </c>
      <c r="KR12" s="21">
        <v>6177.9176825799996</v>
      </c>
      <c r="KS12" s="21">
        <v>5757.6606160700003</v>
      </c>
      <c r="KT12" s="21">
        <v>5209.0252233399997</v>
      </c>
      <c r="KU12" s="21">
        <v>5074.1299601600003</v>
      </c>
      <c r="KV12" s="21">
        <v>5447.6071861700002</v>
      </c>
      <c r="KW12" s="21">
        <v>4970.7342364599999</v>
      </c>
      <c r="KX12" s="21">
        <v>4997.5111961299999</v>
      </c>
      <c r="KY12" s="21">
        <v>5184.2063017300006</v>
      </c>
      <c r="KZ12" s="21">
        <v>5191.0417275599993</v>
      </c>
      <c r="LA12" s="21">
        <v>5615.30241836</v>
      </c>
      <c r="LB12" s="21">
        <v>5391.5160666799993</v>
      </c>
      <c r="LC12" s="21">
        <v>5370.5839638799998</v>
      </c>
      <c r="LD12" s="21">
        <v>5041.2119617599992</v>
      </c>
      <c r="LE12" s="21">
        <v>4985.4651102099997</v>
      </c>
      <c r="LF12" s="21">
        <v>5458.0111445299999</v>
      </c>
      <c r="LG12" s="21">
        <v>5418.0181643400001</v>
      </c>
      <c r="LH12" s="21">
        <v>5152.1350897399998</v>
      </c>
      <c r="LI12" s="21">
        <v>5152.1350897399998</v>
      </c>
      <c r="LJ12" s="21">
        <v>4839.8940263099994</v>
      </c>
      <c r="LK12" s="21">
        <v>5176.3177860100004</v>
      </c>
      <c r="LL12" s="21">
        <v>4945.3509787700004</v>
      </c>
      <c r="LM12" s="21">
        <v>4790.6111148199998</v>
      </c>
      <c r="LN12" s="21">
        <v>4549.6558733900001</v>
      </c>
      <c r="LO12" s="21">
        <v>4547.5927162799999</v>
      </c>
      <c r="LP12" s="21">
        <v>4287.2519824700003</v>
      </c>
      <c r="LQ12" s="21">
        <v>4674.1486122800006</v>
      </c>
      <c r="LR12" s="21">
        <v>4034.0990270699999</v>
      </c>
      <c r="LS12" s="21">
        <v>3698.5800620399996</v>
      </c>
      <c r="LT12" s="21">
        <v>3828.6302701300001</v>
      </c>
      <c r="LU12" s="21">
        <v>4420.0861029300004</v>
      </c>
      <c r="LV12" s="21">
        <v>4207.1340301800001</v>
      </c>
      <c r="LW12" s="21">
        <v>3939.8222659000003</v>
      </c>
      <c r="LX12" s="21">
        <v>3589.2356054400002</v>
      </c>
      <c r="LY12" s="21">
        <v>3294.0865943400004</v>
      </c>
      <c r="LZ12" s="21">
        <v>3791.9940780000002</v>
      </c>
      <c r="MA12" s="21">
        <v>3528.47047591</v>
      </c>
      <c r="MB12" s="21">
        <v>3393.22457897</v>
      </c>
      <c r="MC12" s="21">
        <v>3324.0555130600001</v>
      </c>
      <c r="MD12" s="21">
        <v>3721.9834217899897</v>
      </c>
      <c r="ME12" s="21">
        <v>3874.9296297699898</v>
      </c>
      <c r="MF12" s="21">
        <v>3956.2293191099898</v>
      </c>
      <c r="MG12" s="21">
        <v>3629.4468885699898</v>
      </c>
      <c r="MH12" s="21">
        <v>3399.4904397500004</v>
      </c>
      <c r="MI12" s="21">
        <v>3399.4904397500004</v>
      </c>
      <c r="MJ12" s="21">
        <v>2893.8135424900001</v>
      </c>
      <c r="MK12" s="21">
        <v>3292.15142479</v>
      </c>
      <c r="ML12" s="21">
        <v>3140.5368045599998</v>
      </c>
      <c r="MM12" s="21">
        <v>2828.65551426</v>
      </c>
      <c r="MN12" s="21">
        <v>2687.7452529099996</v>
      </c>
      <c r="MO12" s="21">
        <v>2738.8974978900001</v>
      </c>
      <c r="MP12" s="21">
        <v>3106.0432906599999</v>
      </c>
      <c r="MQ12" s="21">
        <v>2778.9217536800002</v>
      </c>
      <c r="MR12" s="21">
        <v>2955.9873347900002</v>
      </c>
      <c r="MS12" s="21">
        <v>2559.6480836800001</v>
      </c>
      <c r="MT12" s="21">
        <v>2356.9612029</v>
      </c>
      <c r="MU12" s="21">
        <v>1850.0773408699999</v>
      </c>
      <c r="MV12" s="21">
        <v>2218.0733072400003</v>
      </c>
      <c r="MW12" s="21">
        <v>1511.9009744299999</v>
      </c>
      <c r="MX12" s="21">
        <v>1662.4836690000002</v>
      </c>
      <c r="MY12" s="21">
        <v>1662.4836690000002</v>
      </c>
      <c r="MZ12" s="21">
        <v>1710.26280658</v>
      </c>
      <c r="NA12" s="21">
        <v>1673.53588296</v>
      </c>
      <c r="NB12" s="21">
        <v>2408.9964780300002</v>
      </c>
      <c r="NC12" s="21">
        <v>1897.9598235000001</v>
      </c>
      <c r="ND12" s="21">
        <v>1494.84328833</v>
      </c>
      <c r="NE12" s="21">
        <v>2329.4335729600002</v>
      </c>
      <c r="NF12" s="21">
        <v>2826.1774818700001</v>
      </c>
      <c r="NG12" s="21">
        <v>2677.8212581799999</v>
      </c>
      <c r="NH12" s="21">
        <v>2239.6154550799997</v>
      </c>
      <c r="NI12" s="21">
        <v>2511.0144678299998</v>
      </c>
      <c r="NJ12" s="21">
        <v>3146.4103531000001</v>
      </c>
      <c r="NK12" s="21">
        <v>2684.2776404000001</v>
      </c>
      <c r="NL12" s="21">
        <v>2703.2343726899999</v>
      </c>
      <c r="NM12" s="21">
        <v>2703.2343726899999</v>
      </c>
      <c r="NN12" s="21">
        <v>2562.3243725699999</v>
      </c>
      <c r="NO12" s="21">
        <v>3006.60886497</v>
      </c>
      <c r="NP12" s="21">
        <v>3385.6586512099998</v>
      </c>
      <c r="NQ12" s="21">
        <v>3267.454416</v>
      </c>
      <c r="NR12" s="21">
        <v>2854.6660252899997</v>
      </c>
      <c r="NS12" s="21">
        <v>3718.0092628000002</v>
      </c>
      <c r="NT12" s="21">
        <v>4125.2006114699998</v>
      </c>
      <c r="NU12" s="21">
        <v>4104.7763145199997</v>
      </c>
      <c r="NV12" s="21">
        <v>3889.7135232300002</v>
      </c>
      <c r="NW12" s="21">
        <v>4002.3770083200002</v>
      </c>
      <c r="NX12" s="21">
        <v>4419.1038965799999</v>
      </c>
      <c r="NY12" s="21">
        <v>4935.3256221000001</v>
      </c>
      <c r="NZ12" s="21">
        <v>4257.1600964999998</v>
      </c>
      <c r="OA12" s="21">
        <v>4257.1600964999998</v>
      </c>
      <c r="OB12" s="21">
        <v>3213.0297814400001</v>
      </c>
      <c r="OC12" s="21">
        <v>4137.5714659900004</v>
      </c>
      <c r="OD12" s="21">
        <v>4311.4863408500005</v>
      </c>
      <c r="OE12" s="21">
        <v>3854.3998940699998</v>
      </c>
      <c r="OF12" s="24">
        <v>3654.6340185600002</v>
      </c>
      <c r="OG12" s="24">
        <v>3867.1341964100002</v>
      </c>
      <c r="OH12" s="24">
        <v>4135.2826107700002</v>
      </c>
      <c r="OI12" s="24">
        <v>4595.8862706699992</v>
      </c>
      <c r="OJ12" s="24">
        <v>4670.1521644499999</v>
      </c>
      <c r="OK12" s="24">
        <v>4768.8327549299984</v>
      </c>
      <c r="OL12" s="24">
        <v>4982.9648399299995</v>
      </c>
      <c r="OM12" s="24">
        <v>5524.0904542999997</v>
      </c>
      <c r="ON12" s="24">
        <v>5278.9160113699991</v>
      </c>
      <c r="OO12" s="24">
        <v>5051.8408166099989</v>
      </c>
      <c r="OP12" s="24">
        <v>5091.7582528500006</v>
      </c>
      <c r="OQ12" s="24">
        <v>5039.7913205200011</v>
      </c>
      <c r="OR12" s="24">
        <v>5135.28186448</v>
      </c>
      <c r="OS12" s="24">
        <v>5388.54524597</v>
      </c>
      <c r="OT12" s="24">
        <v>5246.9648527899999</v>
      </c>
      <c r="OU12" s="24">
        <v>4642.2195711799995</v>
      </c>
      <c r="OV12" s="24">
        <v>5097.5349609799996</v>
      </c>
      <c r="OW12" s="24">
        <v>4781.4714475199999</v>
      </c>
      <c r="OX12" s="24">
        <v>4635.8825419099994</v>
      </c>
      <c r="OY12" s="24">
        <v>3862.713431560001</v>
      </c>
      <c r="OZ12" s="24">
        <v>2682.5220787900003</v>
      </c>
      <c r="PA12" s="24">
        <v>3444.8031516100004</v>
      </c>
      <c r="PB12" s="24">
        <v>3150.8628022700004</v>
      </c>
      <c r="PC12" s="24">
        <v>2950.3535125600006</v>
      </c>
      <c r="PD12" s="24">
        <v>2981.8182794199997</v>
      </c>
      <c r="PE12" s="24">
        <v>3305.44538066</v>
      </c>
      <c r="PF12" s="24">
        <v>3744.5026350799899</v>
      </c>
      <c r="PG12" s="24">
        <v>3425.1866278100001</v>
      </c>
      <c r="PH12" s="24">
        <v>2315.3115584000002</v>
      </c>
      <c r="PI12" s="24">
        <v>2898.4137456000003</v>
      </c>
      <c r="PJ12" s="24">
        <v>3127.85188092</v>
      </c>
      <c r="PK12" s="24">
        <v>3075.43784378999</v>
      </c>
      <c r="PL12" s="24">
        <v>3018.4577227200007</v>
      </c>
      <c r="PM12" s="24">
        <v>2553.4215294000001</v>
      </c>
      <c r="PN12" s="24">
        <v>3395.14842068999</v>
      </c>
      <c r="PO12" s="24">
        <v>3185.6066215400001</v>
      </c>
      <c r="PP12" s="24">
        <v>3117.1362568499999</v>
      </c>
      <c r="PQ12" s="24">
        <v>2994.2723700499996</v>
      </c>
      <c r="PR12" s="24">
        <v>2538.4007730399999</v>
      </c>
      <c r="PS12" s="24">
        <v>2931.6690032799997</v>
      </c>
      <c r="PT12" s="24">
        <v>3056.9080952099998</v>
      </c>
      <c r="PU12" s="24">
        <v>3067.3698714399998</v>
      </c>
      <c r="PV12" s="24">
        <v>2784.6151284600001</v>
      </c>
      <c r="PW12" s="24">
        <v>2771.2658158899999</v>
      </c>
      <c r="PX12" s="24">
        <v>2782.73600046</v>
      </c>
      <c r="PY12" s="24">
        <v>3750.13027616</v>
      </c>
      <c r="PZ12" s="24">
        <v>3813.4900312200002</v>
      </c>
      <c r="QA12" s="24">
        <v>3622.56304439</v>
      </c>
      <c r="QB12" s="24">
        <v>3622.56304439</v>
      </c>
      <c r="QC12" s="24">
        <v>3798.4480105999996</v>
      </c>
      <c r="QD12" s="24">
        <v>4081.45781111</v>
      </c>
      <c r="QE12" s="24">
        <v>4304.2050231499998</v>
      </c>
      <c r="QF12" s="24">
        <v>3966.7661283800003</v>
      </c>
      <c r="QG12" s="24">
        <v>3973.9447264</v>
      </c>
      <c r="QH12" s="24">
        <v>4863.1048580099996</v>
      </c>
      <c r="QI12" s="24">
        <v>4738.5545125600001</v>
      </c>
      <c r="QJ12" s="24">
        <v>5739.0784241800002</v>
      </c>
      <c r="QK12" s="24">
        <v>5425.3394782700007</v>
      </c>
      <c r="QL12" s="24">
        <v>4380.7703659399986</v>
      </c>
      <c r="QM12" s="24">
        <v>4492.5587278899993</v>
      </c>
      <c r="QN12" s="24">
        <v>4474.2420613699996</v>
      </c>
      <c r="QO12" s="24">
        <v>4583.5251133800002</v>
      </c>
      <c r="QP12" s="24">
        <v>4398.5354316299999</v>
      </c>
      <c r="QQ12" s="24">
        <v>3985.7714509599996</v>
      </c>
      <c r="QR12" s="24">
        <v>3985.7714509599996</v>
      </c>
      <c r="QS12" s="24">
        <v>4116.95993077</v>
      </c>
      <c r="QT12" s="24">
        <v>4611.6264362100001</v>
      </c>
      <c r="QU12" s="24">
        <v>4808.3461508800001</v>
      </c>
      <c r="QV12" s="24">
        <v>4217.7119894300004</v>
      </c>
      <c r="QW12" s="24">
        <v>4118.5761723799997</v>
      </c>
      <c r="QX12" s="24">
        <v>3751.9733333500003</v>
      </c>
      <c r="QY12" s="24">
        <v>3872.8424020399998</v>
      </c>
      <c r="QZ12" s="24">
        <v>4354.4921340500005</v>
      </c>
      <c r="RA12" s="24">
        <v>4387.1827981800006</v>
      </c>
      <c r="RB12" s="24">
        <v>4371.8802740100009</v>
      </c>
      <c r="RC12" s="24">
        <v>4263.9347964400004</v>
      </c>
      <c r="RD12" s="24">
        <v>4325.7765580700006</v>
      </c>
      <c r="RE12" s="24">
        <v>3988.3871348299999</v>
      </c>
      <c r="RF12" s="24">
        <v>3393.8755490899994</v>
      </c>
      <c r="RG12" s="24">
        <v>3393.8755490899994</v>
      </c>
      <c r="RH12" s="24">
        <v>4351.1843872399986</v>
      </c>
      <c r="RI12" s="24">
        <v>4570.7851842499986</v>
      </c>
      <c r="RJ12" s="24">
        <v>4552.5790347100001</v>
      </c>
      <c r="RK12" s="24">
        <v>4765.9914115000001</v>
      </c>
      <c r="RL12" s="24">
        <v>4250.9033372800004</v>
      </c>
      <c r="RM12" s="24">
        <v>4667.0106434700001</v>
      </c>
      <c r="RN12" s="24">
        <v>5650.4495978000004</v>
      </c>
      <c r="RO12" s="24">
        <v>4924.5849569499906</v>
      </c>
      <c r="RP12" s="24"/>
      <c r="RQ12" s="24"/>
      <c r="RR12" s="24"/>
      <c r="RS12" s="24"/>
      <c r="RT12" s="24"/>
      <c r="RU12" s="24"/>
      <c r="RV12" s="24"/>
      <c r="RW12" s="24"/>
      <c r="RX12" s="24"/>
      <c r="RY12" s="24"/>
      <c r="RZ12" s="24"/>
      <c r="SA12" s="24"/>
      <c r="SB12" s="24"/>
      <c r="SC12" s="24"/>
      <c r="SD12" s="24"/>
    </row>
    <row r="13" spans="1:498" ht="12" x14ac:dyDescent="0.3">
      <c r="A13" s="16">
        <v>9</v>
      </c>
      <c r="B13" s="20" t="s">
        <v>124</v>
      </c>
      <c r="C13" s="24">
        <v>918.64094899999998</v>
      </c>
      <c r="D13" s="24">
        <v>911.03840300000002</v>
      </c>
      <c r="E13" s="24">
        <v>936.16904</v>
      </c>
      <c r="F13" s="24">
        <v>942.29331300000001</v>
      </c>
      <c r="G13" s="24">
        <v>996.144679</v>
      </c>
      <c r="H13" s="24">
        <v>1020.0082259999999</v>
      </c>
      <c r="I13" s="24">
        <v>1050.8407729999999</v>
      </c>
      <c r="J13" s="24">
        <v>987.48622399999999</v>
      </c>
      <c r="K13" s="24">
        <v>1052.530227</v>
      </c>
      <c r="L13" s="24">
        <v>1104.058593</v>
      </c>
      <c r="M13" s="24">
        <v>1137.6365029999999</v>
      </c>
      <c r="N13" s="24">
        <v>1168.6802320000002</v>
      </c>
      <c r="O13" s="24">
        <v>1187.26</v>
      </c>
      <c r="P13" s="24">
        <v>1120.953139</v>
      </c>
      <c r="Q13" s="24">
        <v>1191.9102330000001</v>
      </c>
      <c r="R13" s="24">
        <v>1215.5625970000001</v>
      </c>
      <c r="S13" s="24">
        <v>1297.0787829999999</v>
      </c>
      <c r="T13" s="24">
        <v>1297.9235100000001</v>
      </c>
      <c r="U13" s="24">
        <v>1271.7369640000002</v>
      </c>
      <c r="V13" s="24">
        <v>1375.6384229999999</v>
      </c>
      <c r="W13" s="24">
        <v>1531.9318949999999</v>
      </c>
      <c r="X13" s="24">
        <v>1368.475142</v>
      </c>
      <c r="Y13" s="24">
        <v>1454.6383920000001</v>
      </c>
      <c r="Z13" s="24">
        <v>1474.9120969999999</v>
      </c>
      <c r="AA13" s="24">
        <v>1293.2934829999999</v>
      </c>
      <c r="AB13" s="24">
        <v>1473.222622</v>
      </c>
      <c r="AC13" s="24">
        <v>1495.1858029999999</v>
      </c>
      <c r="AD13" s="24">
        <v>1404.7988639999999</v>
      </c>
      <c r="AE13" s="24">
        <v>1394.8731969999999</v>
      </c>
      <c r="AF13" s="24">
        <v>1316.164338</v>
      </c>
      <c r="AG13" s="24">
        <v>1350.4446370000001</v>
      </c>
      <c r="AH13" s="24">
        <v>1370.513993</v>
      </c>
      <c r="AI13" s="24">
        <v>1393.16734</v>
      </c>
      <c r="AJ13" s="24">
        <v>1501.376761</v>
      </c>
      <c r="AK13" s="24">
        <v>1453.569495</v>
      </c>
      <c r="AL13" s="24">
        <v>1460.013582</v>
      </c>
      <c r="AM13" s="24">
        <v>1402.5551229999999</v>
      </c>
      <c r="AN13" s="24">
        <v>1408.8658760000001</v>
      </c>
      <c r="AO13" s="24">
        <v>1344.691693</v>
      </c>
      <c r="AP13" s="24">
        <v>1353.216469</v>
      </c>
      <c r="AQ13" s="24">
        <v>1244.249053</v>
      </c>
      <c r="AR13" s="24">
        <v>1181.487286</v>
      </c>
      <c r="AS13" s="24">
        <v>1010.629276</v>
      </c>
      <c r="AT13" s="24">
        <v>1114.4605020000001</v>
      </c>
      <c r="AU13" s="24">
        <v>1182.558565</v>
      </c>
      <c r="AV13" s="24">
        <v>1125.3448450000001</v>
      </c>
      <c r="AW13" s="24">
        <v>1123.3666899999998</v>
      </c>
      <c r="AX13" s="24">
        <v>1063.7030359999999</v>
      </c>
      <c r="AY13" s="24">
        <v>1023.4593160000001</v>
      </c>
      <c r="AZ13" s="24">
        <v>1062.7396209999999</v>
      </c>
      <c r="BA13" s="24">
        <v>1127.072872</v>
      </c>
      <c r="BB13" s="24">
        <v>1098.0410800000002</v>
      </c>
      <c r="BC13" s="24">
        <v>1095.2956830000001</v>
      </c>
      <c r="BD13" s="24">
        <v>477.67128500000001</v>
      </c>
      <c r="BE13" s="24">
        <v>502.35060799999997</v>
      </c>
      <c r="BF13" s="24">
        <v>494.68180599999999</v>
      </c>
      <c r="BG13" s="24">
        <v>494.930567</v>
      </c>
      <c r="BH13" s="24">
        <v>448.92008899999996</v>
      </c>
      <c r="BI13" s="24">
        <v>468.729038</v>
      </c>
      <c r="BJ13" s="24">
        <v>456.09232900000001</v>
      </c>
      <c r="BK13" s="24">
        <v>464.90683799999999</v>
      </c>
      <c r="BL13" s="24">
        <v>485.47402399999999</v>
      </c>
      <c r="BM13" s="24">
        <v>468.06754899999999</v>
      </c>
      <c r="BN13" s="24">
        <v>457.91789399999999</v>
      </c>
      <c r="BO13" s="24">
        <v>455.40434599999998</v>
      </c>
      <c r="BP13" s="24">
        <v>459.685788</v>
      </c>
      <c r="BQ13" s="24">
        <v>452.07383699999997</v>
      </c>
      <c r="BR13" s="24">
        <v>424.59120600000006</v>
      </c>
      <c r="BS13" s="24">
        <v>438.466948</v>
      </c>
      <c r="BT13" s="24">
        <v>430.50545699999998</v>
      </c>
      <c r="BU13" s="24">
        <v>443.84051699999998</v>
      </c>
      <c r="BV13" s="24">
        <v>410.97093099999995</v>
      </c>
      <c r="BW13" s="24">
        <v>410.45764599999995</v>
      </c>
      <c r="BX13" s="24">
        <v>430.09599199999997</v>
      </c>
      <c r="BY13" s="24">
        <v>476.76549599999998</v>
      </c>
      <c r="BZ13" s="24">
        <v>477.561645</v>
      </c>
      <c r="CA13" s="24">
        <v>496.00576699999999</v>
      </c>
      <c r="CB13" s="24">
        <v>468.12159099999997</v>
      </c>
      <c r="CC13" s="24">
        <v>509.85157199999998</v>
      </c>
      <c r="CD13" s="24">
        <v>519.13180899999998</v>
      </c>
      <c r="CE13" s="24">
        <v>509.04671999999999</v>
      </c>
      <c r="CF13" s="24">
        <v>516.67584899999997</v>
      </c>
      <c r="CG13" s="24">
        <v>499.56143299999997</v>
      </c>
      <c r="CH13" s="24">
        <v>466.21455900000001</v>
      </c>
      <c r="CI13" s="24">
        <v>456.42745000000002</v>
      </c>
      <c r="CJ13" s="24">
        <v>484.39043299999997</v>
      </c>
      <c r="CK13" s="24">
        <v>1086.220474</v>
      </c>
      <c r="CL13" s="24">
        <v>1083.5635400000001</v>
      </c>
      <c r="CM13" s="24">
        <v>1105.175765</v>
      </c>
      <c r="CN13" s="24">
        <v>1110.180511</v>
      </c>
      <c r="CO13" s="24">
        <v>1093.4461299999998</v>
      </c>
      <c r="CP13" s="24">
        <v>1118.9076619999998</v>
      </c>
      <c r="CQ13" s="24">
        <v>1158.5316479999999</v>
      </c>
      <c r="CR13" s="24">
        <v>1138.064042</v>
      </c>
      <c r="CS13" s="24">
        <v>752.21757300000002</v>
      </c>
      <c r="CT13" s="24">
        <v>762.75197400000002</v>
      </c>
      <c r="CU13" s="24">
        <v>772.83086800000001</v>
      </c>
      <c r="CV13" s="24">
        <v>804.36691399999995</v>
      </c>
      <c r="CW13" s="24">
        <v>791.34881399999995</v>
      </c>
      <c r="CX13" s="24">
        <v>800.59286399999996</v>
      </c>
      <c r="CY13" s="24">
        <v>803.95818300000008</v>
      </c>
      <c r="CZ13" s="24">
        <v>801.02966800000002</v>
      </c>
      <c r="DA13" s="24">
        <v>775.82172099999991</v>
      </c>
      <c r="DB13" s="24">
        <v>768.74257499999999</v>
      </c>
      <c r="DC13" s="24">
        <v>770.69465199999991</v>
      </c>
      <c r="DD13" s="24">
        <v>779.73848700000008</v>
      </c>
      <c r="DE13" s="24">
        <v>803.93974200000002</v>
      </c>
      <c r="DF13" s="24">
        <v>815.23378700000001</v>
      </c>
      <c r="DG13" s="24">
        <v>422.34767699999998</v>
      </c>
      <c r="DH13" s="24">
        <v>885.02574200000004</v>
      </c>
      <c r="DI13" s="24">
        <v>886.640263</v>
      </c>
      <c r="DJ13" s="30">
        <v>878.97135600000001</v>
      </c>
      <c r="DK13" s="30">
        <v>876.88758499999994</v>
      </c>
      <c r="DL13" s="30">
        <v>892.409764</v>
      </c>
      <c r="DM13" s="30">
        <v>961.52746200000001</v>
      </c>
      <c r="DN13" s="30">
        <v>976.70796200000007</v>
      </c>
      <c r="DO13" s="30">
        <v>1032.6058</v>
      </c>
      <c r="DP13" s="30">
        <v>1013.105958</v>
      </c>
      <c r="DQ13" s="30">
        <v>1033.180433</v>
      </c>
      <c r="DR13" s="30">
        <v>1008.329513</v>
      </c>
      <c r="DS13" s="30">
        <v>1082.003915</v>
      </c>
      <c r="DT13" s="30">
        <v>1138.169079</v>
      </c>
      <c r="DU13" s="30">
        <v>1157.9852679999999</v>
      </c>
      <c r="DV13" s="30">
        <v>1210.0366879999999</v>
      </c>
      <c r="DW13" s="30">
        <v>1126.0416769999999</v>
      </c>
      <c r="DX13" s="30">
        <v>719.15275100000008</v>
      </c>
      <c r="DY13" s="30">
        <v>776.32088300000009</v>
      </c>
      <c r="DZ13" s="30">
        <v>772.43679899999995</v>
      </c>
      <c r="EA13" s="30">
        <v>774.36721200000011</v>
      </c>
      <c r="EB13" s="30">
        <v>805.78875199999993</v>
      </c>
      <c r="EC13" s="30">
        <v>811.32415300000002</v>
      </c>
      <c r="ED13" s="30">
        <v>1234.0016330000001</v>
      </c>
      <c r="EE13" s="30">
        <v>1224.7287820000001</v>
      </c>
      <c r="EF13" s="30">
        <v>1225.6454900000001</v>
      </c>
      <c r="EG13" s="30">
        <v>1247.716989</v>
      </c>
      <c r="EH13" s="30">
        <v>1246.4477019999999</v>
      </c>
      <c r="EI13" s="30">
        <v>1243.027677</v>
      </c>
      <c r="EJ13" s="30">
        <v>1243.027677</v>
      </c>
      <c r="EK13" s="30">
        <v>1211.119199</v>
      </c>
      <c r="EL13" s="30">
        <v>1246.4124440000001</v>
      </c>
      <c r="EM13" s="30">
        <v>1247.2938940000001</v>
      </c>
      <c r="EN13" s="30">
        <v>1361.3450640000001</v>
      </c>
      <c r="EO13" s="30">
        <v>1377.3085259999998</v>
      </c>
      <c r="EP13" s="30">
        <v>1380.9816599999999</v>
      </c>
      <c r="EQ13" s="30">
        <v>1404.0917979999999</v>
      </c>
      <c r="ER13" s="30">
        <v>1408.3420099999998</v>
      </c>
      <c r="ES13" s="30">
        <v>1482.178645</v>
      </c>
      <c r="ET13" s="30">
        <v>1530.2354869999999</v>
      </c>
      <c r="EU13" s="30">
        <v>1580.9323939999999</v>
      </c>
      <c r="EV13" s="30">
        <v>1514.8159739999999</v>
      </c>
      <c r="EW13" s="30">
        <v>1499.8230860000001</v>
      </c>
      <c r="EX13" s="30">
        <v>1526.0260029999999</v>
      </c>
      <c r="EY13" s="30">
        <v>1527.7913659999999</v>
      </c>
      <c r="EZ13" s="30">
        <v>1504.902599</v>
      </c>
      <c r="FA13" s="30">
        <v>1522.8671380000001</v>
      </c>
      <c r="FB13" s="30">
        <v>1995.144129</v>
      </c>
      <c r="FC13" s="30">
        <v>1903.640551</v>
      </c>
      <c r="FD13" s="30">
        <v>1932.1388280000001</v>
      </c>
      <c r="FE13" s="30">
        <v>1935.68208</v>
      </c>
      <c r="FF13" s="30">
        <v>1953.9167520000001</v>
      </c>
      <c r="FG13" s="30">
        <v>1955.4862679999999</v>
      </c>
      <c r="FH13" s="30">
        <v>1935.13329</v>
      </c>
      <c r="FI13" s="30">
        <v>1935.13329</v>
      </c>
      <c r="FJ13" s="30">
        <v>1994.3919719999999</v>
      </c>
      <c r="FK13" s="30">
        <v>1946.5164380000001</v>
      </c>
      <c r="FL13" s="30">
        <v>1935.320324</v>
      </c>
      <c r="FM13" s="30">
        <v>1840.6078730000002</v>
      </c>
      <c r="FN13" s="30">
        <v>1823.770164</v>
      </c>
      <c r="FO13" s="30">
        <v>1905.2135519999999</v>
      </c>
      <c r="FP13" s="30">
        <v>1907.2955019999999</v>
      </c>
      <c r="FQ13" s="30">
        <v>1948.726349</v>
      </c>
      <c r="FR13" s="30">
        <v>1947.4063529999999</v>
      </c>
      <c r="FS13" s="30">
        <v>1960.0723310000001</v>
      </c>
      <c r="FT13" s="30">
        <v>1872.6547680000001</v>
      </c>
      <c r="FU13" s="30">
        <v>1848.6296199999999</v>
      </c>
      <c r="FV13" s="30">
        <v>1862.4013580000001</v>
      </c>
      <c r="FW13" s="30">
        <v>1873.559481</v>
      </c>
      <c r="FX13" s="30">
        <v>1873.559481</v>
      </c>
      <c r="FY13" s="30">
        <v>1812.39085</v>
      </c>
      <c r="FZ13" s="30">
        <v>1825.8610169999999</v>
      </c>
      <c r="GA13" s="30">
        <v>1795.553142</v>
      </c>
      <c r="GB13" s="30">
        <v>1751.976146</v>
      </c>
      <c r="GC13" s="30">
        <v>1751.976146</v>
      </c>
      <c r="GD13" s="30">
        <v>1705.1321330000001</v>
      </c>
      <c r="GE13" s="30">
        <v>1713.7269040000001</v>
      </c>
      <c r="GF13" s="30">
        <v>1744.2860889999999</v>
      </c>
      <c r="GG13" s="30">
        <v>1740.868285</v>
      </c>
      <c r="GH13" s="30">
        <v>1735.088176</v>
      </c>
      <c r="GI13" s="30">
        <v>1750.317507</v>
      </c>
      <c r="GJ13" s="30">
        <v>1783.7416149999999</v>
      </c>
      <c r="GK13" s="30">
        <v>1791.1301020000001</v>
      </c>
      <c r="GL13" s="30">
        <v>1771.8798260000001</v>
      </c>
      <c r="GM13" s="30">
        <v>1771.8798260000001</v>
      </c>
      <c r="GN13" s="30">
        <v>1846.1667910000001</v>
      </c>
      <c r="GO13" s="30">
        <v>1847.724907</v>
      </c>
      <c r="GP13" s="30">
        <v>1885.722841</v>
      </c>
      <c r="GQ13" s="30">
        <v>1909.8987749999999</v>
      </c>
      <c r="GR13" s="30">
        <v>1909.8987749999999</v>
      </c>
      <c r="GS13" s="30">
        <v>1900.4998150000001</v>
      </c>
      <c r="GT13" s="30">
        <v>1890.8998079999999</v>
      </c>
      <c r="GU13" s="30">
        <v>1782.384546</v>
      </c>
      <c r="GV13" s="30">
        <v>1796.005498</v>
      </c>
      <c r="GW13" s="21">
        <v>1772.3824440000001</v>
      </c>
      <c r="GX13" s="21">
        <v>1795.50288</v>
      </c>
      <c r="GY13" s="21">
        <v>1815.456821</v>
      </c>
      <c r="GZ13" s="21">
        <v>1833.852646</v>
      </c>
      <c r="HA13" s="21">
        <v>1809.023308</v>
      </c>
      <c r="HB13" s="21">
        <v>1835.3102389999999</v>
      </c>
      <c r="HC13" s="21">
        <v>1835.3102389999999</v>
      </c>
      <c r="HD13" s="21">
        <v>1772.1311350000001</v>
      </c>
      <c r="HE13" s="21">
        <v>1783.138473</v>
      </c>
      <c r="HF13" s="21">
        <v>1788.3657020000001</v>
      </c>
      <c r="HG13" s="21">
        <v>1807.9175479999999</v>
      </c>
      <c r="HH13" s="21">
        <v>1824.353163</v>
      </c>
      <c r="HI13" s="21">
        <v>1833.2495039999999</v>
      </c>
      <c r="HJ13" s="21">
        <v>1803.9971270000001</v>
      </c>
      <c r="HK13" s="21">
        <v>1765.144742</v>
      </c>
      <c r="HL13" s="21">
        <v>1755.9468300000001</v>
      </c>
      <c r="HM13" s="21">
        <v>1751.9258850000001</v>
      </c>
      <c r="HN13" s="21">
        <v>1766.2505020000003</v>
      </c>
      <c r="HO13" s="21">
        <v>1771.3269460000001</v>
      </c>
      <c r="HP13" s="21">
        <v>1781.9321890000001</v>
      </c>
      <c r="HQ13" s="21">
        <v>1817.718603</v>
      </c>
      <c r="HR13" s="21">
        <v>1778.4138620000001</v>
      </c>
      <c r="HS13" s="21">
        <v>1778.4138620000001</v>
      </c>
      <c r="HT13" s="21">
        <v>1811.2850900000001</v>
      </c>
      <c r="HU13" s="21">
        <v>1870.292463</v>
      </c>
      <c r="HV13" s="21">
        <v>1870.845343</v>
      </c>
      <c r="HW13" s="21">
        <v>1810.2295919999999</v>
      </c>
      <c r="HX13" s="21">
        <v>1813.8484430000001</v>
      </c>
      <c r="HY13" s="21">
        <v>1776.805484</v>
      </c>
      <c r="HZ13" s="21">
        <v>1789.0693670000001</v>
      </c>
      <c r="IA13" s="21">
        <v>1817.1657230000001</v>
      </c>
      <c r="IB13" s="21">
        <v>1814.652632</v>
      </c>
      <c r="IC13" s="21">
        <v>1815.3060359999999</v>
      </c>
      <c r="ID13" s="21">
        <v>1815.3060359999999</v>
      </c>
      <c r="IE13" s="21">
        <v>1801.986654</v>
      </c>
      <c r="IF13" s="21">
        <v>1832.4955769999999</v>
      </c>
      <c r="IG13" s="21">
        <v>1847.222289</v>
      </c>
      <c r="IH13" s="21">
        <v>1797.5133519999999</v>
      </c>
      <c r="II13" s="21">
        <v>1804.6505299999999</v>
      </c>
      <c r="IJ13" s="21">
        <v>1814.1500140000001</v>
      </c>
      <c r="IK13" s="21">
        <v>1840.738515</v>
      </c>
      <c r="IL13" s="21">
        <v>1903.5155239999999</v>
      </c>
      <c r="IM13" s="21">
        <v>1894.6694440000001</v>
      </c>
      <c r="IN13" s="21">
        <v>1894.6694440000001</v>
      </c>
      <c r="IO13" s="21">
        <v>1955.4862420000002</v>
      </c>
      <c r="IP13" s="21">
        <v>1989.061136</v>
      </c>
      <c r="IQ13" s="21">
        <v>2102.4472770000002</v>
      </c>
      <c r="IR13" s="21">
        <v>2121.9968429999999</v>
      </c>
      <c r="IS13" s="21">
        <v>2109.3439290000001</v>
      </c>
      <c r="IT13" s="21">
        <v>2095.4963200000002</v>
      </c>
      <c r="IU13" s="21">
        <v>2108.529364</v>
      </c>
      <c r="IV13" s="21">
        <v>2132.260366</v>
      </c>
      <c r="IW13" s="21">
        <v>2108.6922770000001</v>
      </c>
      <c r="IX13" s="21">
        <v>2075.8381439999998</v>
      </c>
      <c r="IY13" s="21">
        <v>2075.8381439999998</v>
      </c>
      <c r="IZ13" s="21">
        <v>2044.395925</v>
      </c>
      <c r="JA13" s="21">
        <v>1967.500963</v>
      </c>
      <c r="JB13" s="21">
        <v>1992.1008340000001</v>
      </c>
      <c r="JC13" s="21">
        <v>2011.215966</v>
      </c>
      <c r="JD13" s="21">
        <v>1996.9882259999999</v>
      </c>
      <c r="JE13" s="21">
        <v>2003.721965</v>
      </c>
      <c r="JF13" s="21">
        <v>1987.5392690000001</v>
      </c>
      <c r="JG13" s="21">
        <v>2000.083574</v>
      </c>
      <c r="JH13" s="21">
        <v>1982.597573</v>
      </c>
      <c r="JI13" s="21">
        <v>1973.4201370000001</v>
      </c>
      <c r="JJ13" s="21">
        <v>1952.187136</v>
      </c>
      <c r="JK13" s="21">
        <v>1887.8364790000001</v>
      </c>
      <c r="JL13" s="21">
        <v>1853.02739</v>
      </c>
      <c r="JM13" s="21">
        <v>1886.4788699999999</v>
      </c>
      <c r="JN13" s="21">
        <v>1904.345002</v>
      </c>
      <c r="JO13" s="21">
        <v>1904.345002</v>
      </c>
      <c r="JP13" s="21">
        <v>1925.90383</v>
      </c>
      <c r="JQ13" s="21">
        <v>1951.37257</v>
      </c>
      <c r="JR13" s="21">
        <v>1901.4668710000001</v>
      </c>
      <c r="JS13" s="21">
        <v>1902.0099150000001</v>
      </c>
      <c r="JT13" s="21">
        <v>1863.6167379999999</v>
      </c>
      <c r="JU13" s="21">
        <v>1859.9240420000001</v>
      </c>
      <c r="JV13" s="21">
        <v>1860.901521</v>
      </c>
      <c r="JW13" s="21">
        <v>1807.954778</v>
      </c>
      <c r="JX13" s="21">
        <v>1785.0383409999999</v>
      </c>
      <c r="JY13" s="21">
        <v>1815.665996</v>
      </c>
      <c r="JZ13" s="21">
        <v>1842.1665190000001</v>
      </c>
      <c r="KA13" s="21">
        <v>1791.2833419999999</v>
      </c>
      <c r="KB13" s="21">
        <v>1784.7125149999999</v>
      </c>
      <c r="KC13" s="21">
        <v>1789.925733</v>
      </c>
      <c r="KD13" s="21">
        <v>1780.0966450000001</v>
      </c>
      <c r="KE13" s="21">
        <v>1791.554864</v>
      </c>
      <c r="KF13" s="21">
        <v>1910.8072199999999</v>
      </c>
      <c r="KG13" s="21">
        <v>1902.3900450000001</v>
      </c>
      <c r="KH13" s="21">
        <v>1902.6615670000001</v>
      </c>
      <c r="KI13" s="21">
        <v>1904.4536106200001</v>
      </c>
      <c r="KJ13" s="21">
        <v>1938.3938303699999</v>
      </c>
      <c r="KK13" s="21">
        <v>1950.7752225300001</v>
      </c>
      <c r="KL13" s="21">
        <v>1946.8653092100001</v>
      </c>
      <c r="KM13" s="21">
        <v>1955.71691852</v>
      </c>
      <c r="KN13" s="21">
        <v>1969.89035429</v>
      </c>
      <c r="KO13" s="21">
        <v>1969.89035429</v>
      </c>
      <c r="KP13" s="21">
        <v>2011.6504006600001</v>
      </c>
      <c r="KQ13" s="21">
        <v>2071.3308830699998</v>
      </c>
      <c r="KR13" s="21">
        <v>2090.6089278899999</v>
      </c>
      <c r="KS13" s="21">
        <v>2088.5996668799999</v>
      </c>
      <c r="KT13" s="21">
        <v>2089.52284087</v>
      </c>
      <c r="KU13" s="21">
        <v>2036.79331546</v>
      </c>
      <c r="KV13" s="21">
        <v>2019.79605341</v>
      </c>
      <c r="KW13" s="21">
        <v>1991.82931233</v>
      </c>
      <c r="KX13" s="21">
        <v>1966.8493106000001</v>
      </c>
      <c r="KY13" s="21">
        <v>1981.67439859</v>
      </c>
      <c r="KZ13" s="21">
        <v>1999.64913897</v>
      </c>
      <c r="LA13" s="21">
        <v>2021.4794883100001</v>
      </c>
      <c r="LB13" s="21">
        <v>2131.0113654900001</v>
      </c>
      <c r="LC13" s="21">
        <v>2165.4403244099999</v>
      </c>
      <c r="LD13" s="21">
        <v>2150.1264972499998</v>
      </c>
      <c r="LE13" s="21">
        <v>2174.23762936</v>
      </c>
      <c r="LF13" s="21">
        <v>2193.2441524300002</v>
      </c>
      <c r="LG13" s="21">
        <v>2143.5556707199999</v>
      </c>
      <c r="LH13" s="21">
        <v>2153.2218453</v>
      </c>
      <c r="LI13" s="21">
        <v>2153.2218453</v>
      </c>
      <c r="LJ13" s="21">
        <v>2173.2058466799999</v>
      </c>
      <c r="LK13" s="21">
        <v>2193.7871959399999</v>
      </c>
      <c r="LL13" s="21">
        <v>2130.46832197</v>
      </c>
      <c r="LM13" s="21">
        <v>2115.9690600899999</v>
      </c>
      <c r="LN13" s="21">
        <v>2133.5093656600002</v>
      </c>
      <c r="LO13" s="21">
        <v>2132.26036557</v>
      </c>
      <c r="LP13" s="21">
        <v>2129.05640881</v>
      </c>
      <c r="LQ13" s="21">
        <v>2128.4590609400002</v>
      </c>
      <c r="LR13" s="21">
        <v>2096.9082326600001</v>
      </c>
      <c r="LS13" s="21">
        <v>2076.8699269399899</v>
      </c>
      <c r="LT13" s="21">
        <v>2087.7851016099999</v>
      </c>
      <c r="LU13" s="21">
        <v>2121.8882344200001</v>
      </c>
      <c r="LV13" s="21">
        <v>2129.3822349299999</v>
      </c>
      <c r="LW13" s="21">
        <v>2122.4855822700001</v>
      </c>
      <c r="LX13" s="21">
        <v>2140.2974096100002</v>
      </c>
      <c r="LY13" s="21">
        <v>2109.6697553099998</v>
      </c>
      <c r="LZ13" s="21">
        <v>2086.2645797700002</v>
      </c>
      <c r="MA13" s="21">
        <v>2056.7230125000001</v>
      </c>
      <c r="MB13" s="21">
        <v>2080.3997097900001</v>
      </c>
      <c r="MC13" s="21">
        <v>2109.50684224</v>
      </c>
      <c r="MD13" s="21">
        <v>2107.6061899299898</v>
      </c>
      <c r="ME13" s="21">
        <v>2093.7585802600001</v>
      </c>
      <c r="MF13" s="21">
        <v>2093.6499715599898</v>
      </c>
      <c r="MG13" s="21">
        <v>2093.2698411000001</v>
      </c>
      <c r="MH13" s="21">
        <v>2031.5257933600001</v>
      </c>
      <c r="MI13" s="21">
        <v>2031.5257933600001</v>
      </c>
      <c r="MJ13" s="21">
        <v>1976.2439634299899</v>
      </c>
      <c r="MK13" s="21">
        <v>2073.5573615100002</v>
      </c>
      <c r="ML13" s="21">
        <v>2159.68406314</v>
      </c>
      <c r="MM13" s="21">
        <v>2153.6019757499998</v>
      </c>
      <c r="MN13" s="21">
        <v>2168.8071942000001</v>
      </c>
      <c r="MO13" s="21">
        <v>2157.3489760100001</v>
      </c>
      <c r="MP13" s="21">
        <v>2108.8008856800002</v>
      </c>
      <c r="MQ13" s="21">
        <v>2151.5927147299999</v>
      </c>
      <c r="MR13" s="21">
        <v>2173.0972379599998</v>
      </c>
      <c r="MS13" s="21">
        <v>2210.6758492600002</v>
      </c>
      <c r="MT13" s="21">
        <v>2221.4824152299998</v>
      </c>
      <c r="MU13" s="21">
        <v>2201.38980515</v>
      </c>
      <c r="MV13" s="21">
        <v>2207.2546751199998</v>
      </c>
      <c r="MW13" s="21">
        <v>2217.46389322</v>
      </c>
      <c r="MX13" s="21">
        <v>1756.1706253299999</v>
      </c>
      <c r="MY13" s="21">
        <v>1756.1706253299899</v>
      </c>
      <c r="MZ13" s="21">
        <v>1737.5391962000001</v>
      </c>
      <c r="NA13" s="21">
        <v>1736.9477222600001</v>
      </c>
      <c r="NB13" s="21">
        <v>1714.0492311400001</v>
      </c>
      <c r="NC13" s="21">
        <v>1705.5151071400001</v>
      </c>
      <c r="ND13" s="21">
        <v>1734.9198116099899</v>
      </c>
      <c r="NE13" s="21">
        <v>1709.78216914</v>
      </c>
      <c r="NF13" s="21">
        <v>1688.1511221799999</v>
      </c>
      <c r="NG13" s="21">
        <v>1713.11977209</v>
      </c>
      <c r="NH13" s="21">
        <v>1730.5260052000001</v>
      </c>
      <c r="NI13" s="21">
        <v>1834.5831705600001</v>
      </c>
      <c r="NJ13" s="21">
        <v>1828.0347090800001</v>
      </c>
      <c r="NK13" s="21">
        <v>1834.92115567</v>
      </c>
      <c r="NL13" s="21">
        <v>1871.04331417</v>
      </c>
      <c r="NM13" s="21">
        <v>1871.04331417</v>
      </c>
      <c r="NN13" s="21">
        <v>1942.18917958</v>
      </c>
      <c r="NO13" s="21">
        <v>2029.1780969700001</v>
      </c>
      <c r="NP13" s="21">
        <v>2010.7579085299999</v>
      </c>
      <c r="NQ13" s="21">
        <v>1979.8322710699999</v>
      </c>
      <c r="NR13" s="21">
        <v>1949.329115</v>
      </c>
      <c r="NS13" s="21">
        <v>2004.63192843</v>
      </c>
      <c r="NT13" s="21">
        <v>2030.1075559999999</v>
      </c>
      <c r="NU13" s="21">
        <v>1991.8729905600001</v>
      </c>
      <c r="NV13" s="21">
        <v>1984.18382935</v>
      </c>
      <c r="NW13" s="21">
        <v>1952.5399735399999</v>
      </c>
      <c r="NX13" s="21">
        <v>1969.14349201</v>
      </c>
      <c r="NY13" s="21">
        <v>1973.03032076</v>
      </c>
      <c r="NZ13" s="21">
        <v>1969.52372526</v>
      </c>
      <c r="OA13" s="21">
        <v>1969.52372526</v>
      </c>
      <c r="OB13" s="21">
        <v>2010.2086827400001</v>
      </c>
      <c r="OC13" s="21">
        <v>2033.6986477999999</v>
      </c>
      <c r="OD13" s="21">
        <v>2030.8680225200001</v>
      </c>
      <c r="OE13" s="21">
        <v>2016.16567029</v>
      </c>
      <c r="OF13" s="24">
        <v>2050.1331737</v>
      </c>
      <c r="OG13" s="24">
        <v>2086.9313024200001</v>
      </c>
      <c r="OH13" s="24">
        <v>2037.5854765300001</v>
      </c>
      <c r="OI13" s="24">
        <v>2100.40845863</v>
      </c>
      <c r="OJ13" s="24">
        <v>2121.8705130399999</v>
      </c>
      <c r="OK13" s="24">
        <v>2123.6871830099999</v>
      </c>
      <c r="OL13" s="24">
        <v>2117.6034510600002</v>
      </c>
      <c r="OM13" s="24">
        <v>2175.8636341900001</v>
      </c>
      <c r="ON13" s="24">
        <v>2201.8462394200001</v>
      </c>
      <c r="OO13" s="24">
        <v>2249.1641546599999</v>
      </c>
      <c r="OP13" s="24">
        <v>2222.2098422200002</v>
      </c>
      <c r="OQ13" s="24">
        <v>2239.1935939300001</v>
      </c>
      <c r="OR13" s="24">
        <v>2221.3648794400001</v>
      </c>
      <c r="OS13" s="24">
        <v>2291.96151904</v>
      </c>
      <c r="OT13" s="24">
        <v>2307.9735635699999</v>
      </c>
      <c r="OU13" s="24">
        <v>2310.2549630499998</v>
      </c>
      <c r="OV13" s="24">
        <v>2273.92156385</v>
      </c>
      <c r="OW13" s="24">
        <v>2173.0752570099999</v>
      </c>
      <c r="OX13" s="24">
        <v>2277.1324223800002</v>
      </c>
      <c r="OY13" s="24">
        <v>2240.03855669</v>
      </c>
      <c r="OZ13" s="24">
        <v>2230.8284624799999</v>
      </c>
      <c r="PA13" s="24">
        <v>2246.7982588700002</v>
      </c>
      <c r="PB13" s="24">
        <v>2210.8028447900001</v>
      </c>
      <c r="PC13" s="24">
        <v>2210.3803634000001</v>
      </c>
      <c r="PD13" s="24">
        <v>2204.5923684099998</v>
      </c>
      <c r="PE13" s="24">
        <v>2270.79520159</v>
      </c>
      <c r="PF13" s="24">
        <v>2294.24291851</v>
      </c>
      <c r="PG13" s="24">
        <v>2346.2926252699999</v>
      </c>
      <c r="PH13" s="24">
        <v>2376.0775629999998</v>
      </c>
      <c r="PI13" s="24">
        <v>2428.9722325299899</v>
      </c>
      <c r="PJ13" s="24">
        <v>2468.3474977000001</v>
      </c>
      <c r="PK13" s="24">
        <v>2479.2475174599899</v>
      </c>
      <c r="PL13" s="24">
        <v>2395.0892253699899</v>
      </c>
      <c r="PM13" s="24">
        <v>2476.7126291499899</v>
      </c>
      <c r="PN13" s="24">
        <v>2516.3413831600001</v>
      </c>
      <c r="PO13" s="24">
        <v>2546.4643059700002</v>
      </c>
      <c r="PP13" s="24">
        <v>2595.3876504700002</v>
      </c>
      <c r="PQ13" s="24">
        <v>2632.1435310500001</v>
      </c>
      <c r="PR13" s="24">
        <v>2580.9387870700002</v>
      </c>
      <c r="PS13" s="24">
        <v>2729.6522349400002</v>
      </c>
      <c r="PT13" s="24">
        <v>2807.7267950800001</v>
      </c>
      <c r="PU13" s="24">
        <v>2769.1964926800001</v>
      </c>
      <c r="PV13" s="24">
        <v>2790.1093212800001</v>
      </c>
      <c r="PW13" s="24">
        <v>2716.3440712800002</v>
      </c>
      <c r="PX13" s="24">
        <v>2809.1209836500002</v>
      </c>
      <c r="PY13" s="24">
        <v>2689.4742551499999</v>
      </c>
      <c r="PZ13" s="24">
        <v>2774.85774326</v>
      </c>
      <c r="QA13" s="24">
        <v>2769.4077333700002</v>
      </c>
      <c r="QB13" s="24">
        <v>2769.4077333700002</v>
      </c>
      <c r="QC13" s="24">
        <v>2822.0911621999999</v>
      </c>
      <c r="QD13" s="24">
        <v>2902.74285878</v>
      </c>
      <c r="QE13" s="24">
        <v>2846.0458567800001</v>
      </c>
      <c r="QF13" s="24">
        <v>2764.5069492900002</v>
      </c>
      <c r="QG13" s="24">
        <v>2777.7728648100001</v>
      </c>
      <c r="QH13" s="24">
        <v>2815.33146003</v>
      </c>
      <c r="QI13" s="24">
        <v>2832.3997080200002</v>
      </c>
      <c r="QJ13" s="24">
        <v>2834.93459635</v>
      </c>
      <c r="QK13" s="24">
        <v>2825.1330282099998</v>
      </c>
      <c r="QL13" s="24">
        <v>2787.4054404100002</v>
      </c>
      <c r="QM13" s="24">
        <v>2842.0153843600001</v>
      </c>
      <c r="QN13" s="24">
        <v>2867.9303925700001</v>
      </c>
      <c r="QO13" s="24">
        <v>2818.37332599</v>
      </c>
      <c r="QP13" s="24">
        <v>2817.3171225199999</v>
      </c>
      <c r="QQ13" s="24">
        <v>2897.5040895799998</v>
      </c>
      <c r="QR13" s="24">
        <v>2897.5040895799998</v>
      </c>
      <c r="QS13" s="24">
        <v>3037.2609320800002</v>
      </c>
      <c r="QT13" s="24">
        <v>3085.0435768399998</v>
      </c>
      <c r="QU13" s="24">
        <v>3095.2253782399998</v>
      </c>
      <c r="QV13" s="24">
        <v>3185.3829060200001</v>
      </c>
      <c r="QW13" s="24">
        <v>3232.2360917199999</v>
      </c>
      <c r="QX13" s="24">
        <v>3283.2718431500002</v>
      </c>
      <c r="QY13" s="24">
        <v>3413.6918470099999</v>
      </c>
      <c r="QZ13" s="24">
        <v>3569.7564709899998</v>
      </c>
      <c r="RA13" s="24">
        <v>3468.06520138</v>
      </c>
      <c r="RB13" s="24">
        <v>3389.56815985</v>
      </c>
      <c r="RC13" s="24">
        <v>3374.8658076199999</v>
      </c>
      <c r="RD13" s="24">
        <v>3439.9279410600002</v>
      </c>
      <c r="RE13" s="24">
        <v>3441.4066259199999</v>
      </c>
      <c r="RF13" s="24">
        <v>3541.2812255899998</v>
      </c>
      <c r="RG13" s="24">
        <v>3541.2812255899998</v>
      </c>
      <c r="RH13" s="24">
        <v>3585.1770415800002</v>
      </c>
      <c r="RI13" s="24">
        <v>3673.0109217300001</v>
      </c>
      <c r="RJ13" s="24">
        <v>3665.1105198099999</v>
      </c>
      <c r="RK13" s="24">
        <v>3759.5773577199998</v>
      </c>
      <c r="RL13" s="24">
        <v>3690.6283955399999</v>
      </c>
      <c r="RM13" s="24">
        <v>3797.13595295</v>
      </c>
      <c r="RN13" s="24">
        <v>3896.16558983</v>
      </c>
      <c r="RO13" s="24">
        <v>4179.3971110000002</v>
      </c>
      <c r="RP13" s="24"/>
      <c r="RQ13" s="24"/>
      <c r="RR13" s="24"/>
      <c r="RS13" s="24"/>
      <c r="RT13" s="24"/>
      <c r="RU13" s="24"/>
      <c r="RV13" s="24"/>
      <c r="RW13" s="24"/>
      <c r="RX13" s="24"/>
      <c r="RY13" s="24"/>
      <c r="RZ13" s="24"/>
      <c r="SA13" s="24"/>
      <c r="SB13" s="24"/>
      <c r="SC13" s="24"/>
      <c r="SD13" s="24"/>
    </row>
    <row r="14" spans="1:498" ht="12" x14ac:dyDescent="0.3">
      <c r="A14" s="16">
        <v>10</v>
      </c>
      <c r="B14" s="20" t="s">
        <v>125</v>
      </c>
      <c r="C14" s="24">
        <v>26.711120999999999</v>
      </c>
      <c r="D14" s="24">
        <v>26.481100999999999</v>
      </c>
      <c r="E14" s="24">
        <v>25.924052</v>
      </c>
      <c r="F14" s="24">
        <v>25.419654999999999</v>
      </c>
      <c r="G14" s="24">
        <v>25.300446000000001</v>
      </c>
      <c r="H14" s="24">
        <v>24.703790000000001</v>
      </c>
      <c r="I14" s="24">
        <v>24.780365</v>
      </c>
      <c r="J14" s="24">
        <v>25.444234999999999</v>
      </c>
      <c r="K14" s="24">
        <v>25.309180000000001</v>
      </c>
      <c r="L14" s="24">
        <v>25.830888999999999</v>
      </c>
      <c r="M14" s="24">
        <v>26.089829999999999</v>
      </c>
      <c r="N14" s="24">
        <v>24.698772000000002</v>
      </c>
      <c r="O14" s="24">
        <v>24.93</v>
      </c>
      <c r="P14" s="24">
        <v>25.284116999999998</v>
      </c>
      <c r="Q14" s="24">
        <v>25.086697999999998</v>
      </c>
      <c r="R14" s="24">
        <v>25.285249</v>
      </c>
      <c r="S14" s="24">
        <v>25.850757999999999</v>
      </c>
      <c r="T14" s="24">
        <v>25.053958000000002</v>
      </c>
      <c r="U14" s="24">
        <v>25.049046000000001</v>
      </c>
      <c r="V14" s="24">
        <v>25.065166999999999</v>
      </c>
      <c r="W14" s="24">
        <v>25.242913000000001</v>
      </c>
      <c r="X14" s="24">
        <v>23.869969000000001</v>
      </c>
      <c r="Y14" s="24">
        <v>24.241098000000001</v>
      </c>
      <c r="Z14" s="24">
        <v>23.785405000000001</v>
      </c>
      <c r="AA14" s="24">
        <v>23.139665999999998</v>
      </c>
      <c r="AB14" s="24">
        <v>23.377955</v>
      </c>
      <c r="AC14" s="24">
        <v>23.474174999999999</v>
      </c>
      <c r="AD14" s="24">
        <v>23.192779999999999</v>
      </c>
      <c r="AE14" s="24">
        <v>23.197571</v>
      </c>
      <c r="AF14" s="24">
        <v>22.62482</v>
      </c>
      <c r="AG14" s="24">
        <v>22.575842000000002</v>
      </c>
      <c r="AH14" s="24">
        <v>22.438680000000002</v>
      </c>
      <c r="AI14" s="24">
        <v>22.528981999999999</v>
      </c>
      <c r="AJ14" s="24">
        <v>22.827688999999999</v>
      </c>
      <c r="AK14" s="24">
        <v>24.345428999999999</v>
      </c>
      <c r="AL14" s="24">
        <v>24.265059000000001</v>
      </c>
      <c r="AM14" s="24">
        <v>24.21087</v>
      </c>
      <c r="AN14" s="24">
        <v>24.280498000000001</v>
      </c>
      <c r="AO14" s="24">
        <v>23.797460000000001</v>
      </c>
      <c r="AP14" s="24">
        <v>23.533846</v>
      </c>
      <c r="AQ14" s="24">
        <v>23.706341999999999</v>
      </c>
      <c r="AR14" s="24">
        <v>23.432503000000001</v>
      </c>
      <c r="AS14" s="24">
        <v>23.545065000000001</v>
      </c>
      <c r="AT14" s="24">
        <v>23.690660000000001</v>
      </c>
      <c r="AU14" s="24">
        <v>23.655526999999999</v>
      </c>
      <c r="AV14" s="24">
        <v>23.949020000000001</v>
      </c>
      <c r="AW14" s="24">
        <v>27.942202999999999</v>
      </c>
      <c r="AX14" s="24">
        <v>27.817933</v>
      </c>
      <c r="AY14" s="24">
        <v>27.904727999999999</v>
      </c>
      <c r="AZ14" s="24">
        <v>27.799631999999999</v>
      </c>
      <c r="BA14" s="24">
        <v>28.054568</v>
      </c>
      <c r="BB14" s="24">
        <v>27.898419000000001</v>
      </c>
      <c r="BC14" s="24">
        <v>27.968693999999999</v>
      </c>
      <c r="BD14" s="24">
        <v>27.686115999999998</v>
      </c>
      <c r="BE14" s="24">
        <v>27.783526999999999</v>
      </c>
      <c r="BF14" s="24">
        <v>27.521487</v>
      </c>
      <c r="BG14" s="24">
        <v>27.202439999999999</v>
      </c>
      <c r="BH14" s="24">
        <v>26.484926999999999</v>
      </c>
      <c r="BI14" s="24">
        <v>26.561067000000001</v>
      </c>
      <c r="BJ14" s="24">
        <v>26.239564000000001</v>
      </c>
      <c r="BK14" s="24">
        <v>25.900884000000001</v>
      </c>
      <c r="BL14" s="24">
        <v>25.210971000000001</v>
      </c>
      <c r="BM14" s="24">
        <v>25.174399000000001</v>
      </c>
      <c r="BN14" s="24">
        <v>24.624755</v>
      </c>
      <c r="BO14" s="24">
        <v>25.105471999999999</v>
      </c>
      <c r="BP14" s="24">
        <v>24.77168</v>
      </c>
      <c r="BQ14" s="24">
        <v>25.054759000000001</v>
      </c>
      <c r="BR14" s="24">
        <v>24.846502000000001</v>
      </c>
      <c r="BS14" s="24">
        <v>25.091372</v>
      </c>
      <c r="BT14" s="24">
        <v>24.962845999999999</v>
      </c>
      <c r="BU14" s="24">
        <v>24.840675999999998</v>
      </c>
      <c r="BV14" s="24">
        <v>24.357735000000002</v>
      </c>
      <c r="BW14" s="24">
        <v>24.618500999999998</v>
      </c>
      <c r="BX14" s="24">
        <v>24.505606</v>
      </c>
      <c r="BY14" s="24">
        <v>24.475352999999998</v>
      </c>
      <c r="BZ14" s="24">
        <v>24.962800999999999</v>
      </c>
      <c r="CA14" s="24">
        <v>25.113589000000001</v>
      </c>
      <c r="CB14" s="24">
        <v>24.811782999999998</v>
      </c>
      <c r="CC14" s="24">
        <v>24.74033</v>
      </c>
      <c r="CD14" s="24">
        <v>24.643763</v>
      </c>
      <c r="CE14" s="24">
        <v>24.616633</v>
      </c>
      <c r="CF14" s="24">
        <v>22.802562000000002</v>
      </c>
      <c r="CG14" s="24">
        <v>22.443814</v>
      </c>
      <c r="CH14" s="24">
        <v>21.181273000000001</v>
      </c>
      <c r="CI14" s="24">
        <v>21.033729000000001</v>
      </c>
      <c r="CJ14" s="24">
        <v>21.260598999999999</v>
      </c>
      <c r="CK14" s="24">
        <v>19.873771000000001</v>
      </c>
      <c r="CL14" s="24">
        <v>19.901198000000001</v>
      </c>
      <c r="CM14" s="24">
        <v>20.109033</v>
      </c>
      <c r="CN14" s="24">
        <v>18.746217999999999</v>
      </c>
      <c r="CO14" s="24">
        <v>18.841958999999999</v>
      </c>
      <c r="CP14" s="24">
        <v>19.063503000000001</v>
      </c>
      <c r="CQ14" s="24">
        <v>17.148282999999999</v>
      </c>
      <c r="CR14" s="24">
        <v>17.147192</v>
      </c>
      <c r="CS14" s="24">
        <v>17.042729000000001</v>
      </c>
      <c r="CT14" s="24">
        <v>15.191919</v>
      </c>
      <c r="CU14" s="24">
        <v>15.285405000000001</v>
      </c>
      <c r="CV14" s="24">
        <v>15.639492000000001</v>
      </c>
      <c r="CW14" s="24">
        <v>13.158849999999999</v>
      </c>
      <c r="CX14" s="24">
        <v>13.229654</v>
      </c>
      <c r="CY14" s="24">
        <v>13.085224</v>
      </c>
      <c r="CZ14" s="24">
        <v>10.482245000000001</v>
      </c>
      <c r="DA14" s="24">
        <v>10.40766</v>
      </c>
      <c r="DB14" s="24">
        <v>10.395080999999999</v>
      </c>
      <c r="DC14" s="24">
        <v>7.6979280000000001</v>
      </c>
      <c r="DD14" s="24">
        <v>7.6642000000000001</v>
      </c>
      <c r="DE14" s="24">
        <v>7.5921310000000002</v>
      </c>
      <c r="DF14" s="24">
        <v>4.896528</v>
      </c>
      <c r="DG14" s="24">
        <v>4.9232899999999997</v>
      </c>
      <c r="DH14" s="24">
        <v>4.9583700000000004</v>
      </c>
      <c r="DI14" s="24">
        <v>2.0019019999999998</v>
      </c>
      <c r="DJ14" s="30">
        <v>1.987968</v>
      </c>
      <c r="DK14" s="30">
        <v>6.1416829999999996</v>
      </c>
      <c r="DL14" s="30">
        <v>1.3401749999999999</v>
      </c>
      <c r="DM14" s="30">
        <v>1.3524229999999999</v>
      </c>
      <c r="DN14" s="30">
        <v>7.345491</v>
      </c>
      <c r="DO14" s="30">
        <v>0.67341899999999999</v>
      </c>
      <c r="DP14" s="30">
        <v>0.67094299999999996</v>
      </c>
      <c r="DQ14" s="30">
        <v>8.9551970000000001</v>
      </c>
      <c r="DR14" s="30">
        <v>2.1214050000000002</v>
      </c>
      <c r="DS14" s="30">
        <v>0.82254700000000003</v>
      </c>
      <c r="DT14" s="30">
        <v>7.7038000000000002</v>
      </c>
      <c r="DU14" s="30">
        <v>11.624345999999999</v>
      </c>
      <c r="DV14" s="30">
        <v>11.786697999999999</v>
      </c>
      <c r="DW14" s="30">
        <v>11.665653000000001</v>
      </c>
      <c r="DX14" s="30">
        <v>8.9474560000000007</v>
      </c>
      <c r="DY14" s="30">
        <v>9.0588270000000009</v>
      </c>
      <c r="DZ14" s="30">
        <v>9.3531300000000002</v>
      </c>
      <c r="EA14" s="30">
        <v>9.3090639999999993</v>
      </c>
      <c r="EB14" s="30">
        <v>9.3380530000000004</v>
      </c>
      <c r="EC14" s="30">
        <v>9.3381900000000009</v>
      </c>
      <c r="ED14" s="30">
        <v>9.3181790000000007</v>
      </c>
      <c r="EE14" s="30">
        <v>9.3640950000000007</v>
      </c>
      <c r="EF14" s="30">
        <v>4.8314380000000003</v>
      </c>
      <c r="EG14" s="30">
        <v>4.8385449999999999</v>
      </c>
      <c r="EH14" s="30">
        <v>4.5270640000000002</v>
      </c>
      <c r="EI14" s="30">
        <v>6.7241840000000002</v>
      </c>
      <c r="EJ14" s="30">
        <v>6.7241840000000002</v>
      </c>
      <c r="EK14" s="30">
        <v>6.7571669999999999</v>
      </c>
      <c r="EL14" s="30">
        <v>6.7593719999999999</v>
      </c>
      <c r="EM14" s="30">
        <v>6.7467769999999998</v>
      </c>
      <c r="EN14" s="30">
        <v>6.7490800000000002</v>
      </c>
      <c r="EO14" s="30">
        <v>6.7426110000000001</v>
      </c>
      <c r="EP14" s="30">
        <v>6.7499140000000004</v>
      </c>
      <c r="EQ14" s="30">
        <v>6.7640770000000003</v>
      </c>
      <c r="ER14" s="30">
        <v>6.806813</v>
      </c>
      <c r="ES14" s="30">
        <v>15.224576000000001</v>
      </c>
      <c r="ET14" s="30">
        <v>15.403786999999999</v>
      </c>
      <c r="EU14" s="30">
        <v>9.2018260000000005</v>
      </c>
      <c r="EV14" s="30">
        <v>6.9103060000000003</v>
      </c>
      <c r="EW14" s="30">
        <v>6.8475039999999998</v>
      </c>
      <c r="EX14" s="30">
        <v>6.8804410000000003</v>
      </c>
      <c r="EY14" s="30">
        <v>6.8829640000000003</v>
      </c>
      <c r="EZ14" s="30">
        <v>6.8668100000000001</v>
      </c>
      <c r="FA14" s="30">
        <v>6.8507049999999996</v>
      </c>
      <c r="FB14" s="30">
        <v>6.8719520000000003</v>
      </c>
      <c r="FC14" s="30">
        <v>20.842617000000001</v>
      </c>
      <c r="FD14" s="30">
        <v>20.903655000000001</v>
      </c>
      <c r="FE14" s="30">
        <v>13.81428</v>
      </c>
      <c r="FF14" s="30">
        <v>13.81291</v>
      </c>
      <c r="FG14" s="30">
        <v>13.893554</v>
      </c>
      <c r="FH14" s="30">
        <v>13.815553</v>
      </c>
      <c r="FI14" s="30">
        <v>13.815553</v>
      </c>
      <c r="FJ14" s="30">
        <v>0.35275299999999998</v>
      </c>
      <c r="FK14" s="30">
        <v>0.36012899999999998</v>
      </c>
      <c r="FL14" s="30">
        <v>0.36157499999999998</v>
      </c>
      <c r="FM14" s="30">
        <v>0.36591499999999999</v>
      </c>
      <c r="FN14" s="30">
        <v>0.27839000000000003</v>
      </c>
      <c r="FO14" s="30">
        <v>0.28018100000000001</v>
      </c>
      <c r="FP14" s="30">
        <v>36.140740999999998</v>
      </c>
      <c r="FQ14" s="30">
        <v>36.380341999999999</v>
      </c>
      <c r="FR14" s="30">
        <v>42.422671999999999</v>
      </c>
      <c r="FS14" s="30">
        <v>32.196755000000003</v>
      </c>
      <c r="FT14" s="30">
        <v>32.306292999999997</v>
      </c>
      <c r="FU14" s="30">
        <v>32.199660999999999</v>
      </c>
      <c r="FV14" s="30">
        <v>32.245711999999997</v>
      </c>
      <c r="FW14" s="30">
        <v>32.208602999999997</v>
      </c>
      <c r="FX14" s="30">
        <v>32.208602999999997</v>
      </c>
      <c r="FY14" s="30">
        <v>31.642555000000002</v>
      </c>
      <c r="FZ14" s="30">
        <v>31.818705999999999</v>
      </c>
      <c r="GA14" s="30">
        <v>31.866630000000001</v>
      </c>
      <c r="GB14" s="30">
        <v>1.0897490000000001</v>
      </c>
      <c r="GC14" s="30">
        <v>1.0897490000000001</v>
      </c>
      <c r="GD14" s="30">
        <v>1.0818669999999999</v>
      </c>
      <c r="GE14" s="30">
        <v>1.0813820000000001</v>
      </c>
      <c r="GF14" s="30">
        <v>1.081072</v>
      </c>
      <c r="GG14" s="30">
        <v>1.075234</v>
      </c>
      <c r="GH14" s="30">
        <v>1.0726</v>
      </c>
      <c r="GI14" s="30">
        <v>1.077763</v>
      </c>
      <c r="GJ14" s="30">
        <v>1.082768</v>
      </c>
      <c r="GK14" s="30">
        <v>39.839288000000003</v>
      </c>
      <c r="GL14" s="30">
        <v>39.907570999999997</v>
      </c>
      <c r="GM14" s="30">
        <v>39.907570999999997</v>
      </c>
      <c r="GN14" s="30">
        <v>1.987436</v>
      </c>
      <c r="GO14" s="30">
        <v>1.9957469999999999</v>
      </c>
      <c r="GP14" s="30">
        <v>2.0044590000000002</v>
      </c>
      <c r="GQ14" s="30">
        <v>1.941892</v>
      </c>
      <c r="GR14" s="30">
        <v>1.941892</v>
      </c>
      <c r="GS14" s="30">
        <v>1.9356899999999999</v>
      </c>
      <c r="GT14" s="30">
        <v>1.9400759999999999</v>
      </c>
      <c r="GU14" s="30">
        <v>1.922129</v>
      </c>
      <c r="GV14" s="30">
        <v>1.9223980000000001</v>
      </c>
      <c r="GW14" s="21">
        <v>8.0121369999999992</v>
      </c>
      <c r="GX14" s="21">
        <v>7.998151</v>
      </c>
      <c r="GY14" s="21">
        <v>8.0021950000000004</v>
      </c>
      <c r="GZ14" s="21">
        <v>7.9910730000000001</v>
      </c>
      <c r="HA14" s="21">
        <v>46.322273000000003</v>
      </c>
      <c r="HB14" s="21">
        <v>46.602127000000003</v>
      </c>
      <c r="HC14" s="21">
        <v>46.602127000000003</v>
      </c>
      <c r="HD14" s="21">
        <v>46.454698</v>
      </c>
      <c r="HE14" s="21">
        <v>8.1332450000000005</v>
      </c>
      <c r="HF14" s="21">
        <v>8.1095959999999998</v>
      </c>
      <c r="HG14" s="21">
        <v>957.71431500000006</v>
      </c>
      <c r="HH14" s="21">
        <v>960.52657999999997</v>
      </c>
      <c r="HI14" s="21">
        <v>959.83868800000005</v>
      </c>
      <c r="HJ14" s="21">
        <v>8.1117290000000004</v>
      </c>
      <c r="HK14" s="21">
        <v>8.0942609999999995</v>
      </c>
      <c r="HL14" s="21">
        <v>8.0741759999999996</v>
      </c>
      <c r="HM14" s="21">
        <v>8.0163100000000007</v>
      </c>
      <c r="HN14" s="21">
        <v>5.8223580000000004</v>
      </c>
      <c r="HO14" s="21">
        <v>60.653649000000001</v>
      </c>
      <c r="HP14" s="21">
        <v>60.694488</v>
      </c>
      <c r="HQ14" s="21">
        <v>60.829040999999997</v>
      </c>
      <c r="HR14" s="21">
        <v>60.844946999999998</v>
      </c>
      <c r="HS14" s="21">
        <v>60.844946999999998</v>
      </c>
      <c r="HT14" s="21">
        <v>20.855277000000001</v>
      </c>
      <c r="HU14" s="21">
        <v>20.832846</v>
      </c>
      <c r="HV14" s="21">
        <v>20.694029</v>
      </c>
      <c r="HW14" s="21">
        <v>20.625667</v>
      </c>
      <c r="HX14" s="21">
        <v>20.727765999999999</v>
      </c>
      <c r="HY14" s="21">
        <v>20.694917</v>
      </c>
      <c r="HZ14" s="21">
        <v>20.656001</v>
      </c>
      <c r="IA14" s="21">
        <v>20.693733000000002</v>
      </c>
      <c r="IB14" s="21">
        <v>20.709862000000001</v>
      </c>
      <c r="IC14" s="21">
        <v>20.709714000000002</v>
      </c>
      <c r="ID14" s="21">
        <v>20.709862000000001</v>
      </c>
      <c r="IE14" s="21">
        <v>20.688998000000002</v>
      </c>
      <c r="IF14" s="21">
        <v>20.832826000000001</v>
      </c>
      <c r="IG14" s="21">
        <v>64.909448999999995</v>
      </c>
      <c r="IH14" s="21">
        <v>64.386754999999994</v>
      </c>
      <c r="II14" s="21">
        <v>64.435366999999999</v>
      </c>
      <c r="IJ14" s="21">
        <v>21.240824</v>
      </c>
      <c r="IK14" s="21">
        <v>20.960063000000002</v>
      </c>
      <c r="IL14" s="21">
        <v>20.974712</v>
      </c>
      <c r="IM14" s="21">
        <v>20.840036999999999</v>
      </c>
      <c r="IN14" s="21">
        <v>20.840036999999999</v>
      </c>
      <c r="IO14" s="21">
        <v>20.704167000000002</v>
      </c>
      <c r="IP14" s="21">
        <v>20.675916000000001</v>
      </c>
      <c r="IQ14" s="21">
        <v>20.645423999999998</v>
      </c>
      <c r="IR14" s="21">
        <v>20.618220000000001</v>
      </c>
      <c r="IS14" s="21">
        <v>20.663062</v>
      </c>
      <c r="IT14" s="21">
        <v>20.632867999999998</v>
      </c>
      <c r="IU14" s="21">
        <v>20.495802000000001</v>
      </c>
      <c r="IV14" s="21">
        <v>20.501183000000001</v>
      </c>
      <c r="IW14" s="21">
        <v>63.988478000000001</v>
      </c>
      <c r="IX14" s="21">
        <v>63.229163999999997</v>
      </c>
      <c r="IY14" s="21">
        <v>63.229163999999997</v>
      </c>
      <c r="IZ14" s="21">
        <v>19.384336000000001</v>
      </c>
      <c r="JA14" s="21">
        <v>18.418263</v>
      </c>
      <c r="JB14" s="21">
        <v>18.607320999999999</v>
      </c>
      <c r="JC14" s="21">
        <v>18.672647000000001</v>
      </c>
      <c r="JD14" s="21">
        <v>18.680260000000001</v>
      </c>
      <c r="JE14" s="21">
        <v>18.692301</v>
      </c>
      <c r="JF14" s="21">
        <v>18.543655999999999</v>
      </c>
      <c r="JG14" s="21">
        <v>18.480129000000002</v>
      </c>
      <c r="JH14" s="21">
        <v>18.490508999999999</v>
      </c>
      <c r="JI14" s="21">
        <v>15.317633000000001</v>
      </c>
      <c r="JJ14" s="21">
        <v>15.341974</v>
      </c>
      <c r="JK14" s="21">
        <v>15.323826</v>
      </c>
      <c r="JL14" s="21">
        <v>15.234234000000001</v>
      </c>
      <c r="JM14" s="21">
        <v>69.236492999999996</v>
      </c>
      <c r="JN14" s="21">
        <v>69.668103000000002</v>
      </c>
      <c r="JO14" s="21">
        <v>69.668103000000002</v>
      </c>
      <c r="JP14" s="21">
        <v>12.186650999999999</v>
      </c>
      <c r="JQ14" s="21">
        <v>12.197896</v>
      </c>
      <c r="JR14" s="21">
        <v>12.026377999999999</v>
      </c>
      <c r="JS14" s="21">
        <v>9.5072369999999999</v>
      </c>
      <c r="JT14" s="21">
        <v>9.4699059999999999</v>
      </c>
      <c r="JU14" s="21">
        <v>9.4614639999999994</v>
      </c>
      <c r="JV14" s="21">
        <v>9.477328</v>
      </c>
      <c r="JW14" s="21">
        <v>9.4177289999999996</v>
      </c>
      <c r="JX14" s="21">
        <v>9.3142499999999995</v>
      </c>
      <c r="JY14" s="21">
        <v>9.3137399999999992</v>
      </c>
      <c r="JZ14" s="21">
        <v>9.3329520000000006</v>
      </c>
      <c r="KA14" s="21">
        <v>9.2891440000000003</v>
      </c>
      <c r="KB14" s="21">
        <v>9.2617100000000008</v>
      </c>
      <c r="KC14" s="21">
        <v>85.212006000000002</v>
      </c>
      <c r="KD14" s="21">
        <v>85.070806000000005</v>
      </c>
      <c r="KE14" s="21">
        <v>85.074782999999996</v>
      </c>
      <c r="KF14" s="21">
        <v>6.1174520000000001</v>
      </c>
      <c r="KG14" s="21">
        <v>0.489844</v>
      </c>
      <c r="KH14" s="21">
        <v>0.48849700000000001</v>
      </c>
      <c r="KI14" s="21">
        <v>0.49072844999999998</v>
      </c>
      <c r="KJ14" s="21">
        <v>0.49577441999999999</v>
      </c>
      <c r="KK14" s="21">
        <v>0.30717281000000002</v>
      </c>
      <c r="KL14" s="21">
        <v>0.30739470000000002</v>
      </c>
      <c r="KM14" s="21">
        <v>0.22054148000000001</v>
      </c>
      <c r="KN14" s="21">
        <v>0.22054148000000001</v>
      </c>
      <c r="KO14" s="21">
        <v>0.22054148000000001</v>
      </c>
      <c r="KP14" s="21">
        <v>0.21978747000000001</v>
      </c>
      <c r="KQ14" s="21">
        <v>0.22345311000000001</v>
      </c>
      <c r="KR14" s="21">
        <v>0.22342163000000001</v>
      </c>
      <c r="KS14" s="21">
        <v>120.47447386</v>
      </c>
      <c r="KT14" s="21">
        <v>120.23729305000001</v>
      </c>
      <c r="KU14" s="21">
        <v>120.69025489000001</v>
      </c>
      <c r="KV14" s="21">
        <v>12.029697240000001</v>
      </c>
      <c r="KW14" s="21">
        <v>3.0442837599999999</v>
      </c>
      <c r="KX14" s="21">
        <v>3.0370102499999998</v>
      </c>
      <c r="KY14" s="21">
        <v>3.0392975199999999</v>
      </c>
      <c r="KZ14" s="21">
        <v>3.0419278699999999</v>
      </c>
      <c r="LA14" s="21">
        <v>3.0355692699999999</v>
      </c>
      <c r="LB14" s="21">
        <v>3.0525865400000001</v>
      </c>
      <c r="LC14" s="21">
        <v>3.0685745299999998</v>
      </c>
      <c r="LD14" s="21">
        <v>3.0769001899999999</v>
      </c>
      <c r="LE14" s="21">
        <v>3.08435668</v>
      </c>
      <c r="LF14" s="21">
        <v>3.0983090099999999</v>
      </c>
      <c r="LG14" s="21">
        <v>135.1952589</v>
      </c>
      <c r="LH14" s="21">
        <v>135.08795151999999</v>
      </c>
      <c r="LI14" s="21">
        <v>135.08795151999999</v>
      </c>
      <c r="LJ14" s="21">
        <v>14.10983255</v>
      </c>
      <c r="LK14" s="21">
        <v>14.50877107</v>
      </c>
      <c r="LL14" s="21">
        <v>3.9385740400000002</v>
      </c>
      <c r="LM14" s="21">
        <v>3.92235888</v>
      </c>
      <c r="LN14" s="21">
        <v>3.9136321700000001</v>
      </c>
      <c r="LO14" s="21">
        <v>3.9333557099999998</v>
      </c>
      <c r="LP14" s="21">
        <v>3.92731187</v>
      </c>
      <c r="LQ14" s="21">
        <v>3.9531087199999999</v>
      </c>
      <c r="LR14" s="21">
        <v>3.9311150700000002</v>
      </c>
      <c r="LS14" s="21">
        <v>3.9213269999999998</v>
      </c>
      <c r="LT14" s="21">
        <v>3.9333557099999998</v>
      </c>
      <c r="LU14" s="21">
        <v>3.9933812799999902</v>
      </c>
      <c r="LV14" s="21">
        <v>152.28504570000001</v>
      </c>
      <c r="LW14" s="21">
        <v>151.96370478</v>
      </c>
      <c r="LX14" s="21">
        <v>151.95125848000001</v>
      </c>
      <c r="LY14" s="21">
        <v>229.76230314</v>
      </c>
      <c r="LZ14" s="21">
        <v>96.230412389999898</v>
      </c>
      <c r="MA14" s="21">
        <v>83.493485000000007</v>
      </c>
      <c r="MB14" s="21">
        <v>83.30262553</v>
      </c>
      <c r="MC14" s="21">
        <v>5.0422573799999997</v>
      </c>
      <c r="MD14" s="21">
        <v>5.0425606900000002</v>
      </c>
      <c r="ME14" s="21">
        <v>5.0040027399999998</v>
      </c>
      <c r="MF14" s="21">
        <v>4.9997185200000001</v>
      </c>
      <c r="MG14" s="21">
        <v>4.9891406800000002</v>
      </c>
      <c r="MH14" s="21">
        <v>4.9855388999999999</v>
      </c>
      <c r="MI14" s="21">
        <v>4.9855388999999999</v>
      </c>
      <c r="MJ14" s="21">
        <v>4.97469567</v>
      </c>
      <c r="MK14" s="21">
        <v>4.9663547100000001</v>
      </c>
      <c r="ML14" s="21">
        <v>153.69292929</v>
      </c>
      <c r="MM14" s="21">
        <v>153.55464351000001</v>
      </c>
      <c r="MN14" s="21">
        <v>154.00583018</v>
      </c>
      <c r="MO14" s="21">
        <v>153.41518581</v>
      </c>
      <c r="MP14" s="21">
        <v>20.607363670000002</v>
      </c>
      <c r="MQ14" s="21">
        <v>20.788940830000001</v>
      </c>
      <c r="MR14" s="21">
        <v>20.85113767</v>
      </c>
      <c r="MS14" s="21">
        <v>7.6910273699999996</v>
      </c>
      <c r="MT14" s="21">
        <v>7.68508586</v>
      </c>
      <c r="MU14" s="21">
        <v>7.6684150100000004</v>
      </c>
      <c r="MV14" s="21">
        <v>7.7342908000000001</v>
      </c>
      <c r="MW14" s="21">
        <v>7.7417321100000001</v>
      </c>
      <c r="MX14" s="21">
        <v>7.7393670400000003</v>
      </c>
      <c r="MY14" s="21">
        <v>7.7393670400000003</v>
      </c>
      <c r="MZ14" s="21">
        <v>7.6981225699999998</v>
      </c>
      <c r="NA14" s="21">
        <v>7.7069483099999996</v>
      </c>
      <c r="NB14" s="21">
        <v>158.77017129000001</v>
      </c>
      <c r="NC14" s="21">
        <v>158.82980552000001</v>
      </c>
      <c r="ND14" s="21">
        <v>158.61273693000001</v>
      </c>
      <c r="NE14" s="21">
        <v>24.645296930000001</v>
      </c>
      <c r="NF14" s="21">
        <v>25.309955769999998</v>
      </c>
      <c r="NG14" s="21">
        <v>12.137378419999999</v>
      </c>
      <c r="NH14" s="21">
        <v>12.140945090000001</v>
      </c>
      <c r="NI14" s="21">
        <v>12.20669985</v>
      </c>
      <c r="NJ14" s="21">
        <v>12.17789213</v>
      </c>
      <c r="NK14" s="21">
        <v>12.1087536</v>
      </c>
      <c r="NL14" s="21">
        <v>12.10317497</v>
      </c>
      <c r="NM14" s="21">
        <v>12.10317497</v>
      </c>
      <c r="NN14" s="21">
        <v>12.12594678</v>
      </c>
      <c r="NO14" s="21">
        <v>12.03549969</v>
      </c>
      <c r="NP14" s="21">
        <v>153.95554587999999</v>
      </c>
      <c r="NQ14" s="21">
        <v>154.21070465</v>
      </c>
      <c r="NR14" s="21">
        <v>154.25752277000001</v>
      </c>
      <c r="NS14" s="21">
        <v>15.35669201</v>
      </c>
      <c r="NT14" s="21">
        <v>15.391223370000001</v>
      </c>
      <c r="NU14" s="21">
        <v>15.39192098</v>
      </c>
      <c r="NV14" s="21">
        <v>15.388432959999999</v>
      </c>
      <c r="NW14" s="21">
        <v>7.7870899299999996</v>
      </c>
      <c r="NX14" s="21">
        <v>7.7344359899999997</v>
      </c>
      <c r="NY14" s="21">
        <v>7.7091626199999999</v>
      </c>
      <c r="NZ14" s="21">
        <v>7.7114477600000004</v>
      </c>
      <c r="OA14" s="21">
        <v>7.7114477600000004</v>
      </c>
      <c r="OB14" s="21">
        <v>7.7186588900000004</v>
      </c>
      <c r="OC14" s="21">
        <v>7.7399247100000004</v>
      </c>
      <c r="OD14" s="21">
        <v>162.33339414</v>
      </c>
      <c r="OE14" s="21">
        <v>162.4093058</v>
      </c>
      <c r="OF14" s="24">
        <v>162.64928456999999</v>
      </c>
      <c r="OG14" s="24">
        <v>162.68479163000001</v>
      </c>
      <c r="OH14" s="24">
        <v>24.814420309999999</v>
      </c>
      <c r="OI14" s="24">
        <v>12.12035979</v>
      </c>
      <c r="OJ14" s="24">
        <v>12.19774943</v>
      </c>
      <c r="OK14" s="24">
        <v>12.203005409999999</v>
      </c>
      <c r="OL14" s="24">
        <v>12.226566650000001</v>
      </c>
      <c r="OM14" s="24">
        <v>12.227382240000001</v>
      </c>
      <c r="ON14" s="24">
        <v>12.249584179999999</v>
      </c>
      <c r="OO14" s="24">
        <v>12.278945119999999</v>
      </c>
      <c r="OP14" s="24">
        <v>12.291450709999999</v>
      </c>
      <c r="OQ14" s="24">
        <v>12.181347179999999</v>
      </c>
      <c r="OR14" s="24">
        <v>12.128334369999999</v>
      </c>
      <c r="OS14" s="24">
        <v>181.79511649</v>
      </c>
      <c r="OT14" s="24">
        <v>181.41330284</v>
      </c>
      <c r="OU14" s="24">
        <v>181.58375536</v>
      </c>
      <c r="OV14" s="24">
        <v>20.046243879999999</v>
      </c>
      <c r="OW14" s="24">
        <v>20.09933573</v>
      </c>
      <c r="OX14" s="24">
        <v>19.98726418</v>
      </c>
      <c r="OY14" s="24">
        <v>20.08893891</v>
      </c>
      <c r="OZ14" s="24">
        <v>20.14734455</v>
      </c>
      <c r="PA14" s="24">
        <v>20.044446659999998</v>
      </c>
      <c r="PB14" s="24">
        <v>19.937726420000001</v>
      </c>
      <c r="PC14" s="24">
        <v>18.862220350000001</v>
      </c>
      <c r="PD14" s="24">
        <v>18.862220350000001</v>
      </c>
      <c r="PE14" s="24">
        <v>18.763868890000001</v>
      </c>
      <c r="PF14" s="24">
        <v>18.771534509999999</v>
      </c>
      <c r="PG14" s="24">
        <v>141.26574886</v>
      </c>
      <c r="PH14" s="24">
        <v>140.79708396999999</v>
      </c>
      <c r="PI14" s="24">
        <v>9.0120442999999995</v>
      </c>
      <c r="PJ14" s="24">
        <v>9.0424745499999997</v>
      </c>
      <c r="PK14" s="24">
        <v>9.0587592099999998</v>
      </c>
      <c r="PL14" s="24">
        <v>9.0324691399999999</v>
      </c>
      <c r="PM14" s="24">
        <v>9.1855864</v>
      </c>
      <c r="PN14" s="24">
        <v>9.1945567599999993</v>
      </c>
      <c r="PO14" s="24">
        <v>9.1801351699999998</v>
      </c>
      <c r="PP14" s="24">
        <v>9.1472898300000001</v>
      </c>
      <c r="PQ14" s="24">
        <v>9.1684046899999991</v>
      </c>
      <c r="PR14" s="24">
        <v>9.2404436400000005</v>
      </c>
      <c r="PS14" s="24">
        <v>9.3304923199999994</v>
      </c>
      <c r="PT14" s="24">
        <v>9.3460179500000002</v>
      </c>
      <c r="PU14" s="24">
        <v>147.55661509999999</v>
      </c>
      <c r="PV14" s="24">
        <v>147.68076142000001</v>
      </c>
      <c r="PW14" s="24">
        <v>147.45533784</v>
      </c>
      <c r="PX14" s="24">
        <v>17.61094726</v>
      </c>
      <c r="PY14" s="24">
        <v>17.5992082</v>
      </c>
      <c r="PZ14" s="24">
        <v>17.671468669999999</v>
      </c>
      <c r="QA14" s="24">
        <v>15.40545155</v>
      </c>
      <c r="QB14" s="24">
        <v>15.40545155</v>
      </c>
      <c r="QC14" s="24">
        <v>15.45495938</v>
      </c>
      <c r="QD14" s="24">
        <v>15.485844999999999</v>
      </c>
      <c r="QE14" s="24">
        <v>15.483801100000001</v>
      </c>
      <c r="QF14" s="24">
        <v>15.59473951</v>
      </c>
      <c r="QG14" s="24">
        <v>15.60177962</v>
      </c>
      <c r="QH14" s="24">
        <v>15.630394239999999</v>
      </c>
      <c r="QI14" s="24">
        <v>15.552044690000001</v>
      </c>
      <c r="QJ14" s="24">
        <v>15.50764661</v>
      </c>
      <c r="QK14" s="24">
        <v>12.39268738</v>
      </c>
      <c r="QL14" s="24">
        <v>131.62563688</v>
      </c>
      <c r="QM14" s="24">
        <v>131.42551376</v>
      </c>
      <c r="QN14" s="24">
        <v>4.8324790399999999</v>
      </c>
      <c r="QO14" s="24">
        <v>4.84514683</v>
      </c>
      <c r="QP14" s="24">
        <v>4.8250128300000004</v>
      </c>
      <c r="QQ14" s="24">
        <v>4.8429175799999999</v>
      </c>
      <c r="QR14" s="24">
        <v>4.8429175799999999</v>
      </c>
      <c r="QS14" s="24">
        <v>4.84458067</v>
      </c>
      <c r="QT14" s="24">
        <v>4.8541346000000001</v>
      </c>
      <c r="QU14" s="24">
        <v>4.8559038399999999</v>
      </c>
      <c r="QV14" s="24">
        <v>4.8321251900000002</v>
      </c>
      <c r="QW14" s="24">
        <v>4.8511622599999997</v>
      </c>
      <c r="QX14" s="24">
        <v>4.85133919</v>
      </c>
      <c r="QY14" s="24">
        <v>4.8238805100000004</v>
      </c>
      <c r="QZ14" s="24">
        <v>4.8394852500000001</v>
      </c>
      <c r="RA14" s="24">
        <v>138.5759611</v>
      </c>
      <c r="RB14" s="24">
        <v>136.25192747</v>
      </c>
      <c r="RC14" s="24">
        <v>7.0324668399999997</v>
      </c>
      <c r="RD14" s="24">
        <v>7.04354558</v>
      </c>
      <c r="RE14" s="24">
        <v>7.0098434200000002</v>
      </c>
      <c r="RF14" s="24">
        <v>7.0332951499999998</v>
      </c>
      <c r="RG14" s="24">
        <v>7.0332951499999998</v>
      </c>
      <c r="RH14" s="24">
        <v>7.0591283000000002</v>
      </c>
      <c r="RI14" s="24">
        <v>7.0760052699999996</v>
      </c>
      <c r="RJ14" s="24">
        <v>7.0707247500000001</v>
      </c>
      <c r="RK14" s="24">
        <v>8.1289886199999994</v>
      </c>
      <c r="RL14" s="24">
        <v>8.1272676199999996</v>
      </c>
      <c r="RM14" s="24">
        <v>5.1076217000000002</v>
      </c>
      <c r="RN14" s="24">
        <v>5.1041411999999999</v>
      </c>
      <c r="RO14" s="24">
        <v>142.854159909999</v>
      </c>
      <c r="RP14" s="24"/>
      <c r="RQ14" s="24"/>
      <c r="RR14" s="24"/>
      <c r="RS14" s="24"/>
      <c r="RT14" s="24"/>
      <c r="RU14" s="24"/>
      <c r="RV14" s="24"/>
      <c r="RW14" s="24"/>
      <c r="RX14" s="24"/>
      <c r="RY14" s="24"/>
      <c r="RZ14" s="24"/>
      <c r="SA14" s="24"/>
      <c r="SB14" s="24"/>
      <c r="SC14" s="24"/>
      <c r="SD14" s="24"/>
    </row>
    <row r="15" spans="1:498" ht="12" x14ac:dyDescent="0.3">
      <c r="A15" s="16">
        <v>11</v>
      </c>
      <c r="B15" s="20" t="s">
        <v>126</v>
      </c>
      <c r="C15" s="24">
        <v>26.887046999999995</v>
      </c>
      <c r="D15" s="24">
        <v>26.655511999999987</v>
      </c>
      <c r="E15" s="24">
        <v>26.284883999999977</v>
      </c>
      <c r="F15" s="24">
        <v>26.038943000000017</v>
      </c>
      <c r="G15" s="24">
        <v>25.916829000000007</v>
      </c>
      <c r="H15" s="24">
        <v>25.285852999999975</v>
      </c>
      <c r="I15" s="24">
        <v>25.364231999999959</v>
      </c>
      <c r="J15" s="24">
        <v>26.043745000000001</v>
      </c>
      <c r="K15" s="24">
        <v>25.878925999999979</v>
      </c>
      <c r="L15" s="24">
        <v>26.689813000000015</v>
      </c>
      <c r="M15" s="24">
        <v>26.957364999999982</v>
      </c>
      <c r="N15" s="24">
        <v>26.168258999999978</v>
      </c>
      <c r="O15" s="24">
        <v>26.410000000000025</v>
      </c>
      <c r="P15" s="24">
        <v>26.788430000000005</v>
      </c>
      <c r="Q15" s="24">
        <v>26.978974999999991</v>
      </c>
      <c r="R15" s="24">
        <v>27.192500999999993</v>
      </c>
      <c r="S15" s="24">
        <v>27.800667000000033</v>
      </c>
      <c r="T15" s="24">
        <v>27.454393000000039</v>
      </c>
      <c r="U15" s="24">
        <v>27.448905000000025</v>
      </c>
      <c r="V15" s="24">
        <v>27.46656999999999</v>
      </c>
      <c r="W15" s="24">
        <v>27.601718000000005</v>
      </c>
      <c r="X15" s="24">
        <v>26.782941999999991</v>
      </c>
      <c r="Y15" s="24">
        <v>45.238973999999985</v>
      </c>
      <c r="Z15" s="24">
        <v>44.259399999999971</v>
      </c>
      <c r="AA15" s="24">
        <v>43.794715999999994</v>
      </c>
      <c r="AB15" s="24">
        <v>44.245708000000036</v>
      </c>
      <c r="AC15" s="24">
        <v>44.386625000000038</v>
      </c>
      <c r="AD15" s="24">
        <v>44.188941999999997</v>
      </c>
      <c r="AE15" s="24">
        <v>44.19807000000003</v>
      </c>
      <c r="AF15" s="24">
        <v>43.081286999999975</v>
      </c>
      <c r="AG15" s="24">
        <v>43.289240000000007</v>
      </c>
      <c r="AH15" s="24">
        <v>43.026231999999993</v>
      </c>
      <c r="AI15" s="24">
        <v>43.416465000000073</v>
      </c>
      <c r="AJ15" s="24">
        <v>43.992114000000015</v>
      </c>
      <c r="AK15" s="24">
        <v>43.94590199999999</v>
      </c>
      <c r="AL15" s="24">
        <v>43.781593999999984</v>
      </c>
      <c r="AM15" s="24">
        <v>43.841783000000078</v>
      </c>
      <c r="AN15" s="24">
        <v>43.967866999999956</v>
      </c>
      <c r="AO15" s="24">
        <v>43.210794000000021</v>
      </c>
      <c r="AP15" s="24">
        <v>42.732131999999979</v>
      </c>
      <c r="AQ15" s="24">
        <v>43.045344999999998</v>
      </c>
      <c r="AR15" s="24">
        <v>42.696474999999964</v>
      </c>
      <c r="AS15" s="24">
        <v>42.90157499999998</v>
      </c>
      <c r="AT15" s="24">
        <v>43.166863999999975</v>
      </c>
      <c r="AU15" s="24">
        <v>43.224485999999956</v>
      </c>
      <c r="AV15" s="24">
        <v>43.760770000000036</v>
      </c>
      <c r="AW15" s="24">
        <v>43.873731999999961</v>
      </c>
      <c r="AX15" s="24">
        <v>43.793004000000053</v>
      </c>
      <c r="AY15" s="24">
        <v>43.929642999999942</v>
      </c>
      <c r="AZ15" s="24">
        <v>43.764192999999977</v>
      </c>
      <c r="BA15" s="24">
        <v>44.140732999999955</v>
      </c>
      <c r="BB15" s="24">
        <v>44.090242999999987</v>
      </c>
      <c r="BC15" s="24">
        <v>44.206056999999987</v>
      </c>
      <c r="BD15" s="24">
        <v>43.943050000000028</v>
      </c>
      <c r="BE15" s="24">
        <v>44.097658999999965</v>
      </c>
      <c r="BF15" s="24">
        <v>43.681753999999955</v>
      </c>
      <c r="BG15" s="24">
        <v>43.31291600000003</v>
      </c>
      <c r="BH15" s="24">
        <v>42.170460000000048</v>
      </c>
      <c r="BI15" s="24">
        <v>42.291695000000061</v>
      </c>
      <c r="BJ15" s="24">
        <v>41.768531999999993</v>
      </c>
      <c r="BK15" s="24">
        <v>41.31611399999997</v>
      </c>
      <c r="BL15" s="24">
        <v>40.215591000000018</v>
      </c>
      <c r="BM15" s="24">
        <v>40.146844000000044</v>
      </c>
      <c r="BN15" s="24">
        <v>39.350976000000003</v>
      </c>
      <c r="BO15" s="24">
        <v>40.119173999999987</v>
      </c>
      <c r="BP15" s="24">
        <v>39.665044000000023</v>
      </c>
      <c r="BQ15" s="24">
        <v>40.118318000000045</v>
      </c>
      <c r="BR15" s="24">
        <v>39.784852000000001</v>
      </c>
      <c r="BS15" s="24">
        <v>40.166811999999993</v>
      </c>
      <c r="BT15" s="24">
        <v>40.042725000000019</v>
      </c>
      <c r="BU15" s="24">
        <v>39.846753000000035</v>
      </c>
      <c r="BV15" s="24">
        <v>39.142166999999972</v>
      </c>
      <c r="BW15" s="24">
        <v>39.561211000000014</v>
      </c>
      <c r="BX15" s="24">
        <v>39.379787000000022</v>
      </c>
      <c r="BY15" s="24">
        <v>39.402893000000006</v>
      </c>
      <c r="BZ15" s="24">
        <v>40.187635999999998</v>
      </c>
      <c r="CA15" s="24">
        <v>40.430390000000045</v>
      </c>
      <c r="CB15" s="24">
        <v>40.018192999999997</v>
      </c>
      <c r="CC15" s="24">
        <v>39.902949000000035</v>
      </c>
      <c r="CD15" s="24">
        <v>39.747198000000026</v>
      </c>
      <c r="CE15" s="24">
        <v>39.774583200000052</v>
      </c>
      <c r="CF15" s="24">
        <v>39.816515999999979</v>
      </c>
      <c r="CG15" s="24">
        <v>39.190091000000052</v>
      </c>
      <c r="CH15" s="24">
        <v>38.617008000000055</v>
      </c>
      <c r="CI15" s="24">
        <v>38.348010999999929</v>
      </c>
      <c r="CJ15" s="24">
        <v>38.761634000000072</v>
      </c>
      <c r="CK15" s="24">
        <v>38.651810000000069</v>
      </c>
      <c r="CL15" s="24">
        <v>38.705152999999996</v>
      </c>
      <c r="CM15" s="24">
        <v>39.10936300000003</v>
      </c>
      <c r="CN15" s="24">
        <v>39.488754999999969</v>
      </c>
      <c r="CO15" s="24">
        <v>39.690431999999987</v>
      </c>
      <c r="CP15" s="24">
        <v>40.157112999999981</v>
      </c>
      <c r="CQ15" s="24">
        <v>40.317997999999989</v>
      </c>
      <c r="CR15" s="24">
        <v>40.31543099999999</v>
      </c>
      <c r="CS15" s="24">
        <v>40.069825000000037</v>
      </c>
      <c r="CT15" s="24">
        <v>40.375905999999986</v>
      </c>
      <c r="CU15" s="24">
        <v>40.624365000000012</v>
      </c>
      <c r="CV15" s="24">
        <v>41.565428999999995</v>
      </c>
      <c r="CW15" s="24">
        <v>41.245085000000017</v>
      </c>
      <c r="CX15" s="24">
        <v>41.467014999999947</v>
      </c>
      <c r="CY15" s="24">
        <v>41.014312000000018</v>
      </c>
      <c r="CZ15" s="24">
        <v>40.410991999999965</v>
      </c>
      <c r="DA15" s="24">
        <v>40.123452999999927</v>
      </c>
      <c r="DB15" s="24">
        <v>40.074959000000035</v>
      </c>
      <c r="DC15" s="24">
        <v>39.975689999999986</v>
      </c>
      <c r="DD15" s="24">
        <v>39.80054199999995</v>
      </c>
      <c r="DE15" s="24">
        <v>39.42628400000001</v>
      </c>
      <c r="DF15" s="24">
        <v>39.457662000000028</v>
      </c>
      <c r="DG15" s="24">
        <v>39.673316999999997</v>
      </c>
      <c r="DH15" s="24">
        <v>39.956007</v>
      </c>
      <c r="DI15" s="24">
        <v>39.878417000000013</v>
      </c>
      <c r="DJ15" s="30">
        <v>39.600861000000009</v>
      </c>
      <c r="DK15" s="30">
        <v>39.529831999999942</v>
      </c>
      <c r="DL15" s="30">
        <v>39.297633000000019</v>
      </c>
      <c r="DM15" s="30">
        <v>39.656772000000046</v>
      </c>
      <c r="DN15" s="30">
        <v>39.234875999999986</v>
      </c>
      <c r="DO15" s="30">
        <v>39.032914000000005</v>
      </c>
      <c r="DP15" s="30">
        <v>38.88942899999995</v>
      </c>
      <c r="DQ15" s="30">
        <v>39.348122999999987</v>
      </c>
      <c r="DR15" s="30">
        <v>39.157001000000037</v>
      </c>
      <c r="DS15" s="30">
        <v>39.446251999999959</v>
      </c>
      <c r="DT15" s="30">
        <v>39.278520000000071</v>
      </c>
      <c r="DU15" s="30">
        <v>39.173831000000064</v>
      </c>
      <c r="DV15" s="30">
        <v>39.720955000000004</v>
      </c>
      <c r="DW15" s="30">
        <v>39.313037000000008</v>
      </c>
      <c r="DX15" s="30">
        <v>38.478373000000033</v>
      </c>
      <c r="DY15" s="30">
        <v>38.957320999999979</v>
      </c>
      <c r="DZ15" s="30">
        <v>38.931932999999958</v>
      </c>
      <c r="EA15" s="30">
        <v>38.748512000000005</v>
      </c>
      <c r="EB15" s="30">
        <v>38.869176000000039</v>
      </c>
      <c r="EC15" s="30">
        <v>38.869746999999961</v>
      </c>
      <c r="ED15" s="30">
        <v>38.786450999999943</v>
      </c>
      <c r="EE15" s="30">
        <v>38.977574000000004</v>
      </c>
      <c r="EF15" s="30">
        <v>38.901410000000055</v>
      </c>
      <c r="EG15" s="30">
        <v>38.777607999999987</v>
      </c>
      <c r="EH15" s="30">
        <v>38.848351999999977</v>
      </c>
      <c r="EI15" s="30">
        <v>39.137889000000087</v>
      </c>
      <c r="EJ15" s="30">
        <v>39.137889000000087</v>
      </c>
      <c r="EK15" s="30">
        <v>39.329867000000036</v>
      </c>
      <c r="EL15" s="30">
        <v>39.342703000000029</v>
      </c>
      <c r="EM15" s="30">
        <v>39.269391999999925</v>
      </c>
      <c r="EN15" s="30">
        <v>39.282799000000068</v>
      </c>
      <c r="EO15" s="30">
        <v>39.24514499999998</v>
      </c>
      <c r="EP15" s="30">
        <v>39.287648999999988</v>
      </c>
      <c r="EQ15" s="30">
        <v>39.37008800000001</v>
      </c>
      <c r="ER15" s="30">
        <v>39.618832999999995</v>
      </c>
      <c r="ES15" s="30">
        <v>39.839907000000039</v>
      </c>
      <c r="ET15" s="30">
        <v>40.30887000000007</v>
      </c>
      <c r="EU15" s="30">
        <v>40.247824999999921</v>
      </c>
      <c r="EV15" s="30">
        <v>40.21216800000002</v>
      </c>
      <c r="EW15" s="30">
        <v>40.266936999999984</v>
      </c>
      <c r="EX15" s="30">
        <v>40.460626999999931</v>
      </c>
      <c r="EY15" s="30">
        <v>40.475460999999996</v>
      </c>
      <c r="EZ15" s="30">
        <v>40.380470000000059</v>
      </c>
      <c r="FA15" s="30">
        <v>40.285763999999972</v>
      </c>
      <c r="FB15" s="30">
        <v>40.410707000000002</v>
      </c>
      <c r="FC15" s="30">
        <v>40.034737999999948</v>
      </c>
      <c r="FD15" s="30">
        <v>40.151978999999983</v>
      </c>
      <c r="FE15" s="30">
        <v>40.264369999999985</v>
      </c>
      <c r="FF15" s="30">
        <v>40.260375999999951</v>
      </c>
      <c r="FG15" s="30">
        <v>40.495429000000058</v>
      </c>
      <c r="FH15" s="30">
        <v>40.268077999999946</v>
      </c>
      <c r="FI15" s="30">
        <v>40.268077999999946</v>
      </c>
      <c r="FJ15" s="30">
        <v>40.629500000000007</v>
      </c>
      <c r="FK15" s="30">
        <v>40.501419000000055</v>
      </c>
      <c r="FL15" s="30">
        <v>40.664015999999947</v>
      </c>
      <c r="FM15" s="30">
        <v>40.656883999999991</v>
      </c>
      <c r="FN15" s="30">
        <v>40.794377999999938</v>
      </c>
      <c r="FO15" s="30">
        <v>41.056815000000029</v>
      </c>
      <c r="FP15" s="30">
        <v>40.919035999999892</v>
      </c>
      <c r="FQ15" s="30">
        <v>41.190315999999939</v>
      </c>
      <c r="FR15" s="30">
        <v>41.084770000000049</v>
      </c>
      <c r="FS15" s="30">
        <v>41.084770000000049</v>
      </c>
      <c r="FT15" s="30">
        <v>41.22454700000003</v>
      </c>
      <c r="FU15" s="30">
        <v>41.088479000000007</v>
      </c>
      <c r="FV15" s="30">
        <v>41.147242000000006</v>
      </c>
      <c r="FW15" s="30">
        <v>41.099889000000076</v>
      </c>
      <c r="FX15" s="30">
        <v>41.099889000000076</v>
      </c>
      <c r="FY15" s="30">
        <v>40.884519999999952</v>
      </c>
      <c r="FZ15" s="30">
        <v>41.098463000000038</v>
      </c>
      <c r="GA15" s="30">
        <v>41.160363999999959</v>
      </c>
      <c r="GB15" s="30">
        <v>41.05624499999999</v>
      </c>
      <c r="GC15" s="30">
        <v>41.05624499999999</v>
      </c>
      <c r="GD15" s="30">
        <v>40.759291999999959</v>
      </c>
      <c r="GE15" s="30">
        <v>40.741035000000011</v>
      </c>
      <c r="GF15" s="30">
        <v>40.729339999999979</v>
      </c>
      <c r="GG15" s="30">
        <v>40.509406000000013</v>
      </c>
      <c r="GH15" s="30">
        <v>40.410136999999963</v>
      </c>
      <c r="GI15" s="30">
        <v>40.604682000000025</v>
      </c>
      <c r="GJ15" s="30">
        <v>40.79323700000009</v>
      </c>
      <c r="GK15" s="30">
        <v>40.942426999999952</v>
      </c>
      <c r="GL15" s="30">
        <v>41.012599999999907</v>
      </c>
      <c r="GM15" s="30">
        <v>41.012599999999907</v>
      </c>
      <c r="GN15" s="30">
        <v>40.955833999999982</v>
      </c>
      <c r="GO15" s="30">
        <v>41.039985000000001</v>
      </c>
      <c r="GP15" s="30">
        <v>41.219127000000071</v>
      </c>
      <c r="GQ15" s="30">
        <v>41.174626999999987</v>
      </c>
      <c r="GR15" s="30">
        <v>41.174626999999987</v>
      </c>
      <c r="GS15" s="30">
        <v>41.043123000000037</v>
      </c>
      <c r="GT15" s="30">
        <v>41.136117000000013</v>
      </c>
      <c r="GU15" s="30">
        <v>40.755583000000001</v>
      </c>
      <c r="GV15" s="30">
        <v>40.761289000000033</v>
      </c>
      <c r="GW15" s="21">
        <v>40.689689000000044</v>
      </c>
      <c r="GX15" s="21">
        <v>40.618659999999977</v>
      </c>
      <c r="GY15" s="21">
        <v>40.639197999999965</v>
      </c>
      <c r="GZ15" s="21">
        <v>40.582717000000002</v>
      </c>
      <c r="HA15" s="21">
        <v>40.511974000000009</v>
      </c>
      <c r="HB15" s="21">
        <v>40.756724000000077</v>
      </c>
      <c r="HC15" s="21">
        <v>40.756724000000077</v>
      </c>
      <c r="HD15" s="21">
        <v>40.62778800000001</v>
      </c>
      <c r="HE15" s="21">
        <v>40.516538000000082</v>
      </c>
      <c r="HF15" s="21">
        <v>40.398726000000011</v>
      </c>
      <c r="HG15" s="21">
        <v>40.509120999999936</v>
      </c>
      <c r="HH15" s="21">
        <v>40.628072999999972</v>
      </c>
      <c r="HI15" s="21">
        <v>40.598976999999991</v>
      </c>
      <c r="HJ15" s="21">
        <v>40.667439000000059</v>
      </c>
      <c r="HK15" s="21">
        <v>40.579865000000041</v>
      </c>
      <c r="HL15" s="21">
        <v>40.479168999999956</v>
      </c>
      <c r="HM15" s="21">
        <v>40.189062000000035</v>
      </c>
      <c r="HN15" s="21">
        <v>40.269219000000021</v>
      </c>
      <c r="HO15" s="21">
        <v>40.247824999999921</v>
      </c>
      <c r="HP15" s="21">
        <v>40.274924999999939</v>
      </c>
      <c r="HQ15" s="21">
        <v>40.364209999999957</v>
      </c>
      <c r="HR15" s="21">
        <v>40.374765000000025</v>
      </c>
      <c r="HS15" s="21">
        <v>40.374765000000025</v>
      </c>
      <c r="HT15" s="21">
        <v>40.14912599999991</v>
      </c>
      <c r="HU15" s="21">
        <v>40.061552000000006</v>
      </c>
      <c r="HV15" s="21">
        <v>39.893821000000003</v>
      </c>
      <c r="HW15" s="21">
        <v>39.76203200000009</v>
      </c>
      <c r="HX15" s="21">
        <v>39.958858999999961</v>
      </c>
      <c r="HY15" s="21">
        <v>39.895532000000003</v>
      </c>
      <c r="HZ15" s="21">
        <v>39.820509999999899</v>
      </c>
      <c r="IA15" s="21">
        <v>39.893249999999966</v>
      </c>
      <c r="IB15" s="21">
        <v>39.924342999999908</v>
      </c>
      <c r="IC15" s="21">
        <v>39.924058000000059</v>
      </c>
      <c r="ID15" s="21">
        <v>39.924342999999908</v>
      </c>
      <c r="IE15" s="21">
        <v>39.884121999999934</v>
      </c>
      <c r="IF15" s="21">
        <v>40.161391999999978</v>
      </c>
      <c r="IG15" s="21">
        <v>39.993660999999975</v>
      </c>
      <c r="IH15" s="21">
        <v>39.671605</v>
      </c>
      <c r="II15" s="21">
        <v>39.70155699999998</v>
      </c>
      <c r="IJ15" s="21">
        <v>40.124878999999964</v>
      </c>
      <c r="IK15" s="21">
        <v>40.000792000000047</v>
      </c>
      <c r="IL15" s="21">
        <v>40.028746999999953</v>
      </c>
      <c r="IM15" s="21">
        <v>39.771731000000045</v>
      </c>
      <c r="IN15" s="21">
        <v>39.771731000000045</v>
      </c>
      <c r="IO15" s="21">
        <v>39.51243199999999</v>
      </c>
      <c r="IP15" s="21">
        <v>39.458518000000026</v>
      </c>
      <c r="IQ15" s="21">
        <v>39.400324999999953</v>
      </c>
      <c r="IR15" s="21">
        <v>39.348408999999947</v>
      </c>
      <c r="IS15" s="21">
        <v>39.433986000000004</v>
      </c>
      <c r="IT15" s="21">
        <v>39.376364000000081</v>
      </c>
      <c r="IU15" s="21">
        <v>39.114782999999989</v>
      </c>
      <c r="IV15" s="21">
        <v>39.125051999999982</v>
      </c>
      <c r="IW15" s="21">
        <v>38.797576000000049</v>
      </c>
      <c r="IX15" s="21">
        <v>38.34715499999993</v>
      </c>
      <c r="IY15" s="21">
        <v>38.34715499999993</v>
      </c>
      <c r="IZ15" s="21">
        <v>38.261577999999986</v>
      </c>
      <c r="JA15" s="21">
        <v>37.961202000000071</v>
      </c>
      <c r="JB15" s="21">
        <v>38.350863000000004</v>
      </c>
      <c r="JC15" s="21">
        <v>38.485504999999989</v>
      </c>
      <c r="JD15" s="21">
        <v>38.501194000000055</v>
      </c>
      <c r="JE15" s="21">
        <v>38.52601100000004</v>
      </c>
      <c r="JF15" s="21">
        <v>38.219645000000014</v>
      </c>
      <c r="JG15" s="21">
        <v>38.088711999999987</v>
      </c>
      <c r="JH15" s="21">
        <v>38.110105999999973</v>
      </c>
      <c r="JI15" s="21">
        <v>37.875909999999976</v>
      </c>
      <c r="JJ15" s="21">
        <v>37.936099000000013</v>
      </c>
      <c r="JK15" s="21">
        <v>37.568687000000068</v>
      </c>
      <c r="JL15" s="21">
        <v>37.349038999999948</v>
      </c>
      <c r="JM15" s="21">
        <v>37.52276100000006</v>
      </c>
      <c r="JN15" s="21">
        <v>37.75667199999998</v>
      </c>
      <c r="JO15" s="21">
        <v>37.75667199999998</v>
      </c>
      <c r="JP15" s="21">
        <v>37.730998999999997</v>
      </c>
      <c r="JQ15" s="21">
        <v>37.875339000000054</v>
      </c>
      <c r="JR15" s="21">
        <v>37.342763999999988</v>
      </c>
      <c r="JS15" s="21">
        <v>37.268026000000077</v>
      </c>
      <c r="JT15" s="21">
        <v>37.12168900000006</v>
      </c>
      <c r="JU15" s="21">
        <v>37.088599000000045</v>
      </c>
      <c r="JV15" s="21">
        <v>37.150784999999928</v>
      </c>
      <c r="JW15" s="21">
        <v>36.917159999999967</v>
      </c>
      <c r="JX15" s="21">
        <v>36.511523000000011</v>
      </c>
      <c r="JY15" s="21">
        <v>36.509526999999935</v>
      </c>
      <c r="JZ15" s="21">
        <v>36.584834999999998</v>
      </c>
      <c r="KA15" s="21">
        <v>36.413110000000074</v>
      </c>
      <c r="KB15" s="21">
        <v>36.305567999999994</v>
      </c>
      <c r="KC15" s="21">
        <v>36.667558999999983</v>
      </c>
      <c r="KD15" s="21">
        <v>36.606799000000024</v>
      </c>
      <c r="KE15" s="21">
        <v>36.608511000000021</v>
      </c>
      <c r="KF15" s="21">
        <v>37.343048999999951</v>
      </c>
      <c r="KG15" s="21">
        <v>37.439181000000076</v>
      </c>
      <c r="KH15" s="21">
        <v>37.336203000000069</v>
      </c>
      <c r="KI15" s="21">
        <v>37.506786610000063</v>
      </c>
      <c r="KJ15" s="21">
        <v>37.892454649999991</v>
      </c>
      <c r="KK15" s="21">
        <v>37.90985534999993</v>
      </c>
      <c r="KL15" s="21">
        <v>37.937240050000014</v>
      </c>
      <c r="KM15" s="21">
        <v>37.963198489999968</v>
      </c>
      <c r="KN15" s="21">
        <v>37.963198489999968</v>
      </c>
      <c r="KO15" s="21">
        <v>37.963198489999968</v>
      </c>
      <c r="KP15" s="21">
        <v>37.833406350000018</v>
      </c>
      <c r="KQ15" s="21">
        <v>38.464395780000018</v>
      </c>
      <c r="KR15" s="21">
        <v>38.458975880000025</v>
      </c>
      <c r="KS15" s="21">
        <v>38.541985780000005</v>
      </c>
      <c r="KT15" s="21">
        <v>38.46610730000009</v>
      </c>
      <c r="KU15" s="21">
        <v>38.61101807</v>
      </c>
      <c r="KV15" s="21">
        <v>38.221926950000011</v>
      </c>
      <c r="KW15" s="21">
        <v>37.966906819999963</v>
      </c>
      <c r="KX15" s="21">
        <v>37.876194970000029</v>
      </c>
      <c r="KY15" s="21">
        <v>37.90472072</v>
      </c>
      <c r="KZ15" s="21">
        <v>37.937525319999963</v>
      </c>
      <c r="LA15" s="21">
        <v>37.858223759999987</v>
      </c>
      <c r="LB15" s="21">
        <v>38.070455270000025</v>
      </c>
      <c r="LC15" s="21">
        <v>38.269850199999951</v>
      </c>
      <c r="LD15" s="21">
        <v>38.373683909999954</v>
      </c>
      <c r="LE15" s="21">
        <v>38.466677830000094</v>
      </c>
      <c r="LF15" s="21">
        <v>38.640684869999973</v>
      </c>
      <c r="LG15" s="21">
        <v>38.454982280000081</v>
      </c>
      <c r="LH15" s="21">
        <v>38.424459730000081</v>
      </c>
      <c r="LI15" s="21">
        <v>38.424459730000081</v>
      </c>
      <c r="LJ15" s="21">
        <v>38.54883196000003</v>
      </c>
      <c r="LK15" s="21">
        <v>38.366267210000046</v>
      </c>
      <c r="LL15" s="21">
        <v>38.108109259999992</v>
      </c>
      <c r="LM15" s="21">
        <v>37.951217659999998</v>
      </c>
      <c r="LN15" s="21">
        <v>37.866781479999986</v>
      </c>
      <c r="LO15" s="21">
        <v>38.057618690000027</v>
      </c>
      <c r="LP15" s="21">
        <v>37.999140919999945</v>
      </c>
      <c r="LQ15" s="21">
        <v>38.248741170000017</v>
      </c>
      <c r="LR15" s="21">
        <v>38.035939129999974</v>
      </c>
      <c r="LS15" s="21">
        <v>37.94123366000008</v>
      </c>
      <c r="LT15" s="21">
        <v>38.057618690000027</v>
      </c>
      <c r="LU15" s="21">
        <v>38.638402799999994</v>
      </c>
      <c r="LV15" s="21">
        <v>38.392510900000048</v>
      </c>
      <c r="LW15" s="21">
        <v>38.311497789999976</v>
      </c>
      <c r="LX15" s="21">
        <v>38.308359960000075</v>
      </c>
      <c r="LY15" s="21">
        <v>38.136349740000014</v>
      </c>
      <c r="LZ15" s="21">
        <v>38.207664099998965</v>
      </c>
      <c r="MA15" s="21">
        <v>37.935813769999982</v>
      </c>
      <c r="MB15" s="21">
        <v>37.849095519999992</v>
      </c>
      <c r="MC15" s="21">
        <v>37.93752531999894</v>
      </c>
      <c r="MD15" s="21">
        <v>37.93980737000004</v>
      </c>
      <c r="ME15" s="21">
        <v>37.649700569999027</v>
      </c>
      <c r="MF15" s="21">
        <v>37.617466490001107</v>
      </c>
      <c r="MG15" s="21">
        <v>37.537879670001075</v>
      </c>
      <c r="MH15" s="21">
        <v>37.510780210000007</v>
      </c>
      <c r="MI15" s="21">
        <v>37.51078021000103</v>
      </c>
      <c r="MJ15" s="21">
        <v>37.429196600001092</v>
      </c>
      <c r="MK15" s="21">
        <v>37.36643995999998</v>
      </c>
      <c r="ML15" s="21">
        <v>37.41065487000003</v>
      </c>
      <c r="MM15" s="21">
        <v>37.376994490000016</v>
      </c>
      <c r="MN15" s="21">
        <v>37.486818590000098</v>
      </c>
      <c r="MO15" s="21">
        <v>37.343048849999946</v>
      </c>
      <c r="MP15" s="21">
        <v>37.521619999999984</v>
      </c>
      <c r="MQ15" s="21">
        <v>37.852233350000006</v>
      </c>
      <c r="MR15" s="21">
        <v>37.965480550000052</v>
      </c>
      <c r="MS15" s="21">
        <v>38.033086550000007</v>
      </c>
      <c r="MT15" s="21">
        <v>38.003705029999992</v>
      </c>
      <c r="MU15" s="21">
        <v>37.921265640000001</v>
      </c>
      <c r="MV15" s="21">
        <v>38.247029620000035</v>
      </c>
      <c r="MW15" s="21">
        <v>38.283827830000064</v>
      </c>
      <c r="MX15" s="21">
        <v>38.272132270000043</v>
      </c>
      <c r="MY15" s="21">
        <v>38.272132260001058</v>
      </c>
      <c r="MZ15" s="21">
        <v>38.068173219999949</v>
      </c>
      <c r="NA15" s="21">
        <v>38.111817589999987</v>
      </c>
      <c r="NB15" s="21">
        <v>37.973467749999941</v>
      </c>
      <c r="NC15" s="21">
        <v>37.987730619999979</v>
      </c>
      <c r="ND15" s="21">
        <v>37.935813770000095</v>
      </c>
      <c r="NE15" s="21">
        <v>37.80060175999995</v>
      </c>
      <c r="NF15" s="21">
        <v>37.789761969999972</v>
      </c>
      <c r="NG15" s="21">
        <v>37.858509009999921</v>
      </c>
      <c r="NH15" s="21">
        <v>37.869634049999945</v>
      </c>
      <c r="NI15" s="21">
        <v>38.074734130000024</v>
      </c>
      <c r="NJ15" s="21">
        <v>37.984878040000012</v>
      </c>
      <c r="NK15" s="21">
        <v>37.769223439999905</v>
      </c>
      <c r="NL15" s="21">
        <v>37.75182274000008</v>
      </c>
      <c r="NM15" s="21">
        <v>37.75182274000008</v>
      </c>
      <c r="NN15" s="21">
        <v>37.822851839999998</v>
      </c>
      <c r="NO15" s="21">
        <v>37.540732230000003</v>
      </c>
      <c r="NP15" s="21">
        <v>37.521334730000035</v>
      </c>
      <c r="NQ15" s="21">
        <v>37.583520850000014</v>
      </c>
      <c r="NR15" s="21">
        <v>37.594931149999979</v>
      </c>
      <c r="NS15" s="21">
        <v>37.677085300000044</v>
      </c>
      <c r="NT15" s="21">
        <v>37.761806739999997</v>
      </c>
      <c r="NU15" s="21">
        <v>37.763518289999979</v>
      </c>
      <c r="NV15" s="21">
        <v>37.75496056999998</v>
      </c>
      <c r="NW15" s="21">
        <v>37.841964079999912</v>
      </c>
      <c r="NX15" s="21">
        <v>37.586088170000039</v>
      </c>
      <c r="NY15" s="21">
        <v>37.509924439999963</v>
      </c>
      <c r="NZ15" s="21">
        <v>37.521049479999988</v>
      </c>
      <c r="OA15" s="21">
        <v>37.521049479999988</v>
      </c>
      <c r="OB15" s="21">
        <v>37.556136139999921</v>
      </c>
      <c r="OC15" s="21">
        <v>37.818002460000002</v>
      </c>
      <c r="OD15" s="21">
        <v>37.82056977000002</v>
      </c>
      <c r="OE15" s="21">
        <v>37.838255730000014</v>
      </c>
      <c r="OF15" s="24">
        <v>37.894166189999964</v>
      </c>
      <c r="OG15" s="24">
        <v>37.902438650000022</v>
      </c>
      <c r="OH15" s="24">
        <v>38.068458469999996</v>
      </c>
      <c r="OI15" s="24">
        <v>38.152894660000015</v>
      </c>
      <c r="OJ15" s="24">
        <v>38.396504489999984</v>
      </c>
      <c r="OK15" s="24">
        <v>38.413049419999993</v>
      </c>
      <c r="OL15" s="24">
        <v>38.487216369999942</v>
      </c>
      <c r="OM15" s="24">
        <v>38.48978367999996</v>
      </c>
      <c r="ON15" s="24">
        <v>38.559671739999999</v>
      </c>
      <c r="OO15" s="24">
        <v>38.652095160000044</v>
      </c>
      <c r="OP15" s="24">
        <v>38.691460689999985</v>
      </c>
      <c r="OQ15" s="24">
        <v>38.344872910000049</v>
      </c>
      <c r="OR15" s="24">
        <v>38.177997320000031</v>
      </c>
      <c r="OS15" s="24">
        <v>38.029948719999993</v>
      </c>
      <c r="OT15" s="24">
        <v>37.95007664000002</v>
      </c>
      <c r="OU15" s="24">
        <v>37.985733820000064</v>
      </c>
      <c r="OV15" s="24">
        <v>37.865925710000056</v>
      </c>
      <c r="OW15" s="24">
        <v>37.499655189999999</v>
      </c>
      <c r="OX15" s="24">
        <v>37.290561479999951</v>
      </c>
      <c r="OY15" s="24">
        <v>37.480257670000015</v>
      </c>
      <c r="OZ15" s="24">
        <v>37.589226010000061</v>
      </c>
      <c r="PA15" s="24">
        <v>37.397247760000027</v>
      </c>
      <c r="PB15" s="24">
        <v>37.198138080000035</v>
      </c>
      <c r="PC15" s="24">
        <v>37.201275900000041</v>
      </c>
      <c r="PD15" s="24">
        <v>37.201275900000041</v>
      </c>
      <c r="PE15" s="24">
        <v>37.007300859999987</v>
      </c>
      <c r="PF15" s="24">
        <v>37.022419510000987</v>
      </c>
      <c r="PG15" s="24">
        <v>37.316519910000011</v>
      </c>
      <c r="PH15" s="24">
        <v>37.192718189999937</v>
      </c>
      <c r="PI15" s="24">
        <v>37.255760079999959</v>
      </c>
      <c r="PJ15" s="24">
        <v>37.38155861000007</v>
      </c>
      <c r="PK15" s="24">
        <v>37.448879369999986</v>
      </c>
      <c r="PL15" s="24">
        <v>37.340196289999994</v>
      </c>
      <c r="PM15" s="24">
        <v>37.973182489999999</v>
      </c>
      <c r="PN15" s="24">
        <v>38.010265969998954</v>
      </c>
      <c r="PO15" s="24">
        <v>37.950647150000009</v>
      </c>
      <c r="PP15" s="24">
        <v>37.814864629999988</v>
      </c>
      <c r="PQ15" s="24">
        <v>37.902153399999975</v>
      </c>
      <c r="PR15" s="24">
        <v>38.199962140000025</v>
      </c>
      <c r="PS15" s="24">
        <v>38.572223079999958</v>
      </c>
      <c r="PT15" s="24">
        <v>38.636405999999965</v>
      </c>
      <c r="PU15" s="24">
        <v>38.65152463000004</v>
      </c>
      <c r="PV15" s="24">
        <v>38.684043980000069</v>
      </c>
      <c r="PW15" s="24">
        <v>38.624995699999999</v>
      </c>
      <c r="PX15" s="24">
        <v>38.514886339999975</v>
      </c>
      <c r="PY15" s="24">
        <v>38.489213169999971</v>
      </c>
      <c r="PZ15" s="24">
        <v>38.647245770001064</v>
      </c>
      <c r="QA15" s="24">
        <v>38.701159429999962</v>
      </c>
      <c r="QB15" s="24">
        <v>38.701159429999962</v>
      </c>
      <c r="QC15" s="24">
        <v>38.825531660000024</v>
      </c>
      <c r="QD15" s="24">
        <v>38.903121680000027</v>
      </c>
      <c r="QE15" s="24">
        <v>38.897987050000097</v>
      </c>
      <c r="QF15" s="24">
        <v>39.176683550000007</v>
      </c>
      <c r="QG15" s="24">
        <v>39.194369510000001</v>
      </c>
      <c r="QH15" s="24">
        <v>39.266254389999972</v>
      </c>
      <c r="QI15" s="24">
        <v>39.069426760000056</v>
      </c>
      <c r="QJ15" s="24">
        <v>38.957891109999991</v>
      </c>
      <c r="QK15" s="24">
        <v>39.074276130000044</v>
      </c>
      <c r="QL15" s="24">
        <v>38.649813089999952</v>
      </c>
      <c r="QM15" s="24">
        <v>38.591050060000043</v>
      </c>
      <c r="QN15" s="24">
        <v>38.957320589999995</v>
      </c>
      <c r="QO15" s="24">
        <v>39.059442740000009</v>
      </c>
      <c r="QP15" s="24">
        <v>38.897131280000053</v>
      </c>
      <c r="QQ15" s="24">
        <v>39.041471529999967</v>
      </c>
      <c r="QR15" s="24">
        <v>39.041471529999967</v>
      </c>
      <c r="QS15" s="24">
        <v>39.054878629999962</v>
      </c>
      <c r="QT15" s="24">
        <v>39.131898130000081</v>
      </c>
      <c r="QU15" s="24">
        <v>39.146160989999998</v>
      </c>
      <c r="QV15" s="24">
        <v>38.954468010000028</v>
      </c>
      <c r="QW15" s="24">
        <v>39.107936509999945</v>
      </c>
      <c r="QX15" s="24">
        <v>39.109362789999977</v>
      </c>
      <c r="QY15" s="24">
        <v>38.888003040000058</v>
      </c>
      <c r="QZ15" s="24">
        <v>39.013801569999941</v>
      </c>
      <c r="RA15" s="24">
        <v>38.854342670000051</v>
      </c>
      <c r="RB15" s="24">
        <v>38.749082670000007</v>
      </c>
      <c r="RC15" s="24">
        <v>38.749653200000012</v>
      </c>
      <c r="RD15" s="24">
        <v>38.810698279999997</v>
      </c>
      <c r="RE15" s="24">
        <v>38.624995699999999</v>
      </c>
      <c r="RF15" s="24">
        <v>38.754217309999945</v>
      </c>
      <c r="RG15" s="24">
        <v>38.754217309999945</v>
      </c>
      <c r="RH15" s="24">
        <v>38.896560760000057</v>
      </c>
      <c r="RI15" s="24">
        <v>38.989554679999969</v>
      </c>
      <c r="RJ15" s="24">
        <v>38.960458430000017</v>
      </c>
      <c r="RK15" s="24">
        <v>39.074276130000044</v>
      </c>
      <c r="RL15" s="24">
        <v>39.066003669999986</v>
      </c>
      <c r="RM15" s="24">
        <v>38.931076899999994</v>
      </c>
      <c r="RN15" s="24">
        <v>38.904547969999953</v>
      </c>
      <c r="RO15" s="24">
        <v>38.979570680000961</v>
      </c>
      <c r="RP15" s="24"/>
      <c r="RQ15" s="24"/>
      <c r="RR15" s="24"/>
      <c r="RS15" s="24"/>
      <c r="RT15" s="24"/>
      <c r="RU15" s="24"/>
      <c r="RV15" s="24"/>
      <c r="RW15" s="24"/>
      <c r="RX15" s="24"/>
      <c r="RY15" s="24"/>
      <c r="RZ15" s="24"/>
      <c r="SA15" s="24"/>
      <c r="SB15" s="24"/>
      <c r="SC15" s="24"/>
      <c r="SD15" s="24"/>
    </row>
    <row r="16" spans="1:498" ht="12" x14ac:dyDescent="0.3">
      <c r="A16" s="16">
        <v>12</v>
      </c>
      <c r="B16" s="20" t="s">
        <v>127</v>
      </c>
      <c r="C16" s="24">
        <v>-26.677294999999997</v>
      </c>
      <c r="D16" s="24">
        <v>13.357113</v>
      </c>
      <c r="E16" s="24">
        <v>7.5459220000000009</v>
      </c>
      <c r="F16" s="24">
        <v>10.077389</v>
      </c>
      <c r="G16" s="24">
        <v>0.90289600000000014</v>
      </c>
      <c r="H16" s="24">
        <v>14.889340000000001</v>
      </c>
      <c r="I16" s="24">
        <v>24.521674000000001</v>
      </c>
      <c r="J16" s="24">
        <v>3.8687320000000005</v>
      </c>
      <c r="K16" s="24">
        <v>22.182103000000001</v>
      </c>
      <c r="L16" s="24">
        <v>3.1579890000000006</v>
      </c>
      <c r="M16" s="24">
        <v>4.7945760000000002</v>
      </c>
      <c r="N16" s="24">
        <v>15.300365000000001</v>
      </c>
      <c r="O16" s="24">
        <v>-3.8299999999999983</v>
      </c>
      <c r="P16" s="24">
        <v>19.393962999999999</v>
      </c>
      <c r="Q16" s="24">
        <v>3.2398009999999999</v>
      </c>
      <c r="R16" s="24">
        <v>-0.69700999999999969</v>
      </c>
      <c r="S16" s="24">
        <v>6.7123509999999991</v>
      </c>
      <c r="T16" s="24">
        <v>5.8749950000000002</v>
      </c>
      <c r="U16" s="24">
        <v>-16.955227000000001</v>
      </c>
      <c r="V16" s="24">
        <v>-1.2334960000000001</v>
      </c>
      <c r="W16" s="24">
        <v>6.0275089999999993</v>
      </c>
      <c r="X16" s="24">
        <v>-2.6257989999999998</v>
      </c>
      <c r="Y16" s="24">
        <v>0.76899899999999999</v>
      </c>
      <c r="Z16" s="24">
        <v>6.2093939999999996</v>
      </c>
      <c r="AA16" s="24">
        <v>-0.17979699999999976</v>
      </c>
      <c r="AB16" s="24">
        <v>6.5630040000000003</v>
      </c>
      <c r="AC16" s="24">
        <v>0.47806999999999977</v>
      </c>
      <c r="AD16" s="24">
        <v>0.63967999999999936</v>
      </c>
      <c r="AE16" s="24">
        <v>7.8680749999999993</v>
      </c>
      <c r="AF16" s="24">
        <v>1.3128359999999994</v>
      </c>
      <c r="AG16" s="24">
        <v>-17.352105000000002</v>
      </c>
      <c r="AH16" s="24">
        <v>2.122932</v>
      </c>
      <c r="AI16" s="24">
        <v>4.6576109999999993</v>
      </c>
      <c r="AJ16" s="24">
        <v>3.0956669999999997</v>
      </c>
      <c r="AK16" s="24">
        <v>2.248621</v>
      </c>
      <c r="AL16" s="24">
        <v>-0.43375399999999864</v>
      </c>
      <c r="AM16" s="24">
        <v>2.2229539999999997</v>
      </c>
      <c r="AN16" s="24">
        <v>-2.1867239999999999</v>
      </c>
      <c r="AO16" s="24">
        <v>1.8273260000000002</v>
      </c>
      <c r="AP16" s="24">
        <v>4.020683</v>
      </c>
      <c r="AQ16" s="24">
        <v>-1.683624</v>
      </c>
      <c r="AR16" s="24">
        <v>-0.25002899999999995</v>
      </c>
      <c r="AS16" s="24">
        <v>1.7961510000000001</v>
      </c>
      <c r="AT16" s="24">
        <v>9.6770000000000245E-2</v>
      </c>
      <c r="AU16" s="24">
        <v>2.4805260000000002</v>
      </c>
      <c r="AV16" s="24">
        <v>-0.23074200000000003</v>
      </c>
      <c r="AW16" s="24">
        <v>2.2071769999999997</v>
      </c>
      <c r="AX16" s="24">
        <v>-5.966247000000001</v>
      </c>
      <c r="AY16" s="24">
        <v>0.30662900000000004</v>
      </c>
      <c r="AZ16" s="24">
        <v>6.0027690000000007</v>
      </c>
      <c r="BA16" s="24">
        <v>9.4803739999999994</v>
      </c>
      <c r="BB16" s="24">
        <v>12.017674999999999</v>
      </c>
      <c r="BC16" s="24">
        <v>12.382538</v>
      </c>
      <c r="BD16" s="24">
        <v>0.673543</v>
      </c>
      <c r="BE16" s="24">
        <v>0.19226500000000013</v>
      </c>
      <c r="BF16" s="24">
        <v>9.5769520000000004</v>
      </c>
      <c r="BG16" s="24">
        <v>11.315500999999999</v>
      </c>
      <c r="BH16" s="24">
        <v>1.328457</v>
      </c>
      <c r="BI16" s="24">
        <v>-1.963619</v>
      </c>
      <c r="BJ16" s="24">
        <v>-1.9140360000000001</v>
      </c>
      <c r="BK16" s="24">
        <v>-21.003008000000001</v>
      </c>
      <c r="BL16" s="24">
        <v>8.8180000000000036E-2</v>
      </c>
      <c r="BM16" s="24">
        <v>0.63342700000000018</v>
      </c>
      <c r="BN16" s="24">
        <v>2.1551</v>
      </c>
      <c r="BO16" s="24">
        <v>6.0006000000000004</v>
      </c>
      <c r="BP16" s="24">
        <v>-0.29009099999999999</v>
      </c>
      <c r="BQ16" s="24">
        <v>-19.481369000000001</v>
      </c>
      <c r="BR16" s="24">
        <v>0.55776100000000006</v>
      </c>
      <c r="BS16" s="24">
        <v>3.0941579999999997</v>
      </c>
      <c r="BT16" s="24">
        <v>0.39090599999999998</v>
      </c>
      <c r="BU16" s="24">
        <v>-1.5188580000000003</v>
      </c>
      <c r="BV16" s="24">
        <v>-1.7474250000000002</v>
      </c>
      <c r="BW16" s="24">
        <v>-19.556643000000001</v>
      </c>
      <c r="BX16" s="24">
        <v>-2.8412329999999999</v>
      </c>
      <c r="BY16" s="24">
        <v>-7.2500000000000342E-4</v>
      </c>
      <c r="BZ16" s="24">
        <v>-0.685222</v>
      </c>
      <c r="CA16" s="24">
        <v>-2.1659250000000001</v>
      </c>
      <c r="CB16" s="24">
        <v>8.9799000000000004E-2</v>
      </c>
      <c r="CC16" s="24">
        <v>-18.578084</v>
      </c>
      <c r="CD16" s="24">
        <v>2.0976650000000001</v>
      </c>
      <c r="CE16" s="24">
        <v>2.0668829999999998</v>
      </c>
      <c r="CF16" s="24">
        <v>-2.0593E-2</v>
      </c>
      <c r="CG16" s="24">
        <v>0.40865699999999994</v>
      </c>
      <c r="CH16" s="24">
        <v>0.74104800000000015</v>
      </c>
      <c r="CI16" s="24">
        <v>-17.746451</v>
      </c>
      <c r="CJ16" s="24">
        <v>-0.70321499999999992</v>
      </c>
      <c r="CK16" s="24">
        <v>0.26937</v>
      </c>
      <c r="CL16" s="24">
        <v>0.32730300000000001</v>
      </c>
      <c r="CM16" s="24">
        <v>0.12996400000000002</v>
      </c>
      <c r="CN16" s="24">
        <v>4.8299999999999992E-4</v>
      </c>
      <c r="CO16" s="24">
        <v>-18.196024000000001</v>
      </c>
      <c r="CP16" s="24">
        <v>-0.428087</v>
      </c>
      <c r="CQ16" s="24">
        <v>-0.22683400000000001</v>
      </c>
      <c r="CR16" s="24">
        <v>-0.53184399999999998</v>
      </c>
      <c r="CS16" s="24">
        <v>-2.6774339999999999</v>
      </c>
      <c r="CT16" s="24">
        <v>-11.122324000000001</v>
      </c>
      <c r="CU16" s="24">
        <v>-0.34021100000000004</v>
      </c>
      <c r="CV16" s="24">
        <v>-0.26124900000000001</v>
      </c>
      <c r="CW16" s="24">
        <v>-9.2E-5</v>
      </c>
      <c r="CX16" s="24">
        <v>-0.10192</v>
      </c>
      <c r="CY16" s="24">
        <v>-0.85065999999999997</v>
      </c>
      <c r="CZ16" s="24">
        <v>-9.1359999999999997E-2</v>
      </c>
      <c r="DA16" s="24">
        <v>-0.52691399999999999</v>
      </c>
      <c r="DB16" s="24">
        <v>-0.32658500000000001</v>
      </c>
      <c r="DC16" s="24">
        <v>0</v>
      </c>
      <c r="DD16" s="24">
        <v>-0.15984499999999999</v>
      </c>
      <c r="DE16" s="24">
        <v>-0.64088400000000001</v>
      </c>
      <c r="DF16" s="24">
        <v>-0.122876</v>
      </c>
      <c r="DG16" s="24">
        <v>6.6974000000000006E-2</v>
      </c>
      <c r="DH16" s="24">
        <v>-0.44994099999999998</v>
      </c>
      <c r="DI16" s="24">
        <v>0</v>
      </c>
      <c r="DJ16" s="30">
        <v>1.4139000000000013E-2</v>
      </c>
      <c r="DK16" s="30">
        <v>-0.237867</v>
      </c>
      <c r="DL16" s="30">
        <v>-0.21726799999999999</v>
      </c>
      <c r="DM16" s="30">
        <v>-2.2268E-2</v>
      </c>
      <c r="DN16" s="30">
        <v>-0.26668999999999998</v>
      </c>
      <c r="DO16" s="30">
        <v>-2.8466000000000005E-2</v>
      </c>
      <c r="DP16" s="30">
        <v>0</v>
      </c>
      <c r="DQ16" s="30">
        <v>-0.26777899999999999</v>
      </c>
      <c r="DR16" s="30">
        <v>-0.14641000000000001</v>
      </c>
      <c r="DS16" s="30">
        <v>-2.5000000000000001E-4</v>
      </c>
      <c r="DT16" s="30">
        <v>-6.3500000000000004E-4</v>
      </c>
      <c r="DU16" s="30">
        <v>-2.0063000000000025E-2</v>
      </c>
      <c r="DV16" s="30">
        <v>6.2243999999999994E-2</v>
      </c>
      <c r="DW16" s="30">
        <v>3.4258999999999984E-2</v>
      </c>
      <c r="DX16" s="30">
        <v>0.12786499999999998</v>
      </c>
      <c r="DY16" s="30">
        <v>-4.650600000000002E-2</v>
      </c>
      <c r="DZ16" s="30">
        <v>-4.650600000000002E-2</v>
      </c>
      <c r="EA16" s="30">
        <v>-4.7688000000000008E-2</v>
      </c>
      <c r="EB16" s="30">
        <v>-4.7688000000000008E-2</v>
      </c>
      <c r="EC16" s="30">
        <v>-4.7825000000000006E-2</v>
      </c>
      <c r="ED16" s="30">
        <v>-0.19079200000000002</v>
      </c>
      <c r="EE16" s="30">
        <v>-0.19240499999999999</v>
      </c>
      <c r="EF16" s="30">
        <v>-1.1820000000000001E-3</v>
      </c>
      <c r="EG16" s="30">
        <v>-1.1820000000000001E-3</v>
      </c>
      <c r="EH16" s="30">
        <v>-1.1820000000000001E-3</v>
      </c>
      <c r="EI16" s="30">
        <v>0</v>
      </c>
      <c r="EJ16" s="30">
        <v>0</v>
      </c>
      <c r="EK16" s="30">
        <v>-7.7300000000000003E-4</v>
      </c>
      <c r="EL16" s="30">
        <v>-1.1820000000000001E-3</v>
      </c>
      <c r="EM16" s="30">
        <v>-5.6024999999999998E-2</v>
      </c>
      <c r="EN16" s="30">
        <v>7.3365000000000014E-2</v>
      </c>
      <c r="EO16" s="30">
        <v>7.3365000000000014E-2</v>
      </c>
      <c r="EP16" s="30">
        <v>4.8718000000000011E-2</v>
      </c>
      <c r="EQ16" s="30">
        <v>7.300100000000001E-2</v>
      </c>
      <c r="ER16" s="30">
        <v>-8.1443999999999989E-2</v>
      </c>
      <c r="ES16" s="30">
        <v>-8.1443999999999989E-2</v>
      </c>
      <c r="ET16" s="30">
        <v>-0.10781499999999999</v>
      </c>
      <c r="EU16" s="30">
        <v>-0.10899699999999998</v>
      </c>
      <c r="EV16" s="30">
        <v>-0.10899699999999998</v>
      </c>
      <c r="EW16" s="30">
        <v>-0.17394700000000002</v>
      </c>
      <c r="EX16" s="30">
        <v>0.12939000000000001</v>
      </c>
      <c r="EY16" s="30">
        <v>4.4936000000000004E-2</v>
      </c>
      <c r="EZ16" s="30">
        <v>-0.1096</v>
      </c>
      <c r="FA16" s="30">
        <v>-1.1820000000000001E-3</v>
      </c>
      <c r="FB16" s="30">
        <v>-1.1820000000000001E-3</v>
      </c>
      <c r="FC16" s="30">
        <v>-0.14843500000000001</v>
      </c>
      <c r="FD16" s="30">
        <v>-0.14843500000000001</v>
      </c>
      <c r="FE16" s="30">
        <v>-0.149617</v>
      </c>
      <c r="FF16" s="30">
        <v>-0.149617</v>
      </c>
      <c r="FG16" s="30">
        <v>-1.1722859999999999</v>
      </c>
      <c r="FH16" s="30">
        <v>-9.19E-4</v>
      </c>
      <c r="FI16" s="30">
        <v>-9.19E-4</v>
      </c>
      <c r="FJ16" s="30">
        <v>-9.19E-4</v>
      </c>
      <c r="FK16" s="30">
        <v>-2.5799999999999998E-3</v>
      </c>
      <c r="FL16" s="30">
        <v>-2.5799999999999998E-3</v>
      </c>
      <c r="FM16" s="30">
        <v>0</v>
      </c>
      <c r="FN16" s="30">
        <v>0</v>
      </c>
      <c r="FO16" s="30">
        <v>0</v>
      </c>
      <c r="FP16" s="30">
        <v>-1.6899999999999999E-4</v>
      </c>
      <c r="FQ16" s="30">
        <v>-1.351E-3</v>
      </c>
      <c r="FR16" s="30">
        <v>-1.351E-3</v>
      </c>
      <c r="FS16" s="30">
        <v>-1.351E-3</v>
      </c>
      <c r="FT16" s="30"/>
      <c r="FU16" s="30"/>
      <c r="FV16" s="30"/>
      <c r="FW16" s="30"/>
      <c r="FX16" s="30"/>
      <c r="FY16" s="30"/>
      <c r="FZ16" s="30"/>
      <c r="GA16" s="30"/>
      <c r="GB16" s="30"/>
      <c r="GC16" s="30"/>
      <c r="GD16" s="30"/>
      <c r="GE16" s="30"/>
      <c r="GF16" s="30"/>
      <c r="GG16" s="30"/>
      <c r="GH16" s="30"/>
      <c r="GI16" s="30"/>
      <c r="GJ16" s="30"/>
      <c r="GK16" s="30"/>
      <c r="GL16" s="30"/>
      <c r="GM16" s="30"/>
      <c r="GN16" s="30"/>
      <c r="GO16" s="30"/>
      <c r="GP16" s="30"/>
      <c r="GQ16" s="30"/>
      <c r="GR16" s="30"/>
      <c r="GS16" s="30"/>
      <c r="GT16" s="30"/>
      <c r="GU16" s="30"/>
      <c r="GV16" s="30"/>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21"/>
      <c r="IO16" s="21"/>
      <c r="IP16" s="21"/>
      <c r="IQ16" s="21"/>
      <c r="IR16" s="21"/>
      <c r="IS16" s="21"/>
      <c r="IT16" s="21"/>
      <c r="IU16" s="21"/>
      <c r="IV16" s="21"/>
      <c r="IW16" s="21"/>
      <c r="IX16" s="21"/>
      <c r="IY16" s="21"/>
      <c r="IZ16" s="21"/>
      <c r="JA16" s="21"/>
      <c r="JB16" s="21"/>
      <c r="JC16" s="21"/>
      <c r="JD16" s="21"/>
      <c r="JE16" s="21"/>
      <c r="JF16" s="21"/>
      <c r="JG16" s="21"/>
      <c r="JH16" s="21"/>
      <c r="JI16" s="21"/>
      <c r="JJ16" s="21"/>
      <c r="JK16" s="21"/>
      <c r="JL16" s="21"/>
      <c r="JM16" s="21"/>
      <c r="JN16" s="21"/>
      <c r="JO16" s="21"/>
      <c r="JP16" s="21"/>
      <c r="JQ16" s="21"/>
      <c r="JR16" s="21"/>
      <c r="JS16" s="21"/>
      <c r="JT16" s="21"/>
      <c r="JU16" s="21"/>
      <c r="JV16" s="21"/>
      <c r="JW16" s="21"/>
      <c r="JX16" s="21"/>
      <c r="JY16" s="21"/>
      <c r="JZ16" s="21"/>
      <c r="KA16" s="21"/>
      <c r="KB16" s="21"/>
      <c r="KC16" s="21"/>
      <c r="KD16" s="21"/>
      <c r="KE16" s="21"/>
      <c r="KF16" s="21"/>
      <c r="KG16" s="21"/>
      <c r="KH16" s="21"/>
      <c r="KI16" s="21"/>
      <c r="KJ16" s="21"/>
      <c r="KK16" s="21"/>
      <c r="KL16" s="21"/>
      <c r="KM16" s="21"/>
      <c r="KN16" s="21"/>
      <c r="KO16" s="21"/>
      <c r="KP16" s="21"/>
      <c r="KQ16" s="21"/>
      <c r="KR16" s="21"/>
      <c r="KS16" s="21"/>
      <c r="KT16" s="21"/>
      <c r="KU16" s="21"/>
      <c r="KV16" s="21"/>
      <c r="KW16" s="21"/>
      <c r="KX16" s="21"/>
      <c r="KY16" s="21"/>
      <c r="KZ16" s="21"/>
      <c r="LA16" s="21"/>
      <c r="LB16" s="21"/>
      <c r="LC16" s="21"/>
      <c r="LD16" s="21"/>
      <c r="LE16" s="21"/>
      <c r="LF16" s="21"/>
      <c r="LG16" s="21"/>
      <c r="LH16" s="21"/>
      <c r="LI16" s="21"/>
      <c r="LJ16" s="21"/>
      <c r="LK16" s="21"/>
      <c r="LL16" s="21"/>
      <c r="LM16" s="21"/>
      <c r="LN16" s="21"/>
      <c r="LO16" s="21"/>
      <c r="LP16" s="21"/>
      <c r="LQ16" s="21"/>
      <c r="LR16" s="21"/>
      <c r="LS16" s="21"/>
      <c r="LT16" s="21"/>
      <c r="LU16" s="21"/>
      <c r="LV16" s="21"/>
      <c r="LW16" s="21"/>
      <c r="LX16" s="21"/>
      <c r="LY16" s="21"/>
      <c r="LZ16" s="21"/>
      <c r="MA16" s="21"/>
      <c r="MB16" s="21"/>
      <c r="MC16" s="21"/>
      <c r="MD16" s="21"/>
      <c r="ME16" s="21"/>
      <c r="MF16" s="21"/>
      <c r="MG16" s="21"/>
      <c r="MH16" s="21"/>
      <c r="MI16" s="21"/>
      <c r="MJ16" s="21"/>
      <c r="MK16" s="21"/>
      <c r="ML16" s="21"/>
      <c r="MM16" s="21"/>
      <c r="MN16" s="21"/>
      <c r="MO16" s="21"/>
      <c r="MP16" s="21"/>
      <c r="MQ16" s="21"/>
      <c r="MR16" s="21"/>
      <c r="MS16" s="21"/>
      <c r="MT16" s="21"/>
      <c r="MU16" s="21"/>
      <c r="MV16" s="21"/>
      <c r="MW16" s="21"/>
      <c r="MX16" s="21"/>
      <c r="MY16" s="21"/>
      <c r="MZ16" s="21"/>
      <c r="NA16" s="21"/>
      <c r="NB16" s="21"/>
      <c r="NC16" s="21"/>
      <c r="ND16" s="21"/>
      <c r="NE16" s="21"/>
      <c r="NF16" s="21"/>
      <c r="NG16" s="21"/>
      <c r="NH16" s="21"/>
      <c r="NI16" s="21"/>
      <c r="NJ16" s="21"/>
      <c r="NK16" s="21"/>
      <c r="NL16" s="21"/>
      <c r="NM16" s="21"/>
      <c r="NN16" s="21"/>
      <c r="NO16" s="21"/>
      <c r="NP16" s="21"/>
      <c r="NQ16" s="21"/>
      <c r="NR16" s="21"/>
      <c r="NS16" s="21"/>
      <c r="NT16" s="21"/>
      <c r="NU16" s="21"/>
      <c r="NV16" s="21"/>
      <c r="NW16" s="21"/>
      <c r="NX16" s="21"/>
      <c r="NY16" s="21"/>
      <c r="NZ16" s="21"/>
      <c r="OA16" s="21"/>
      <c r="OB16" s="21"/>
      <c r="OC16" s="21"/>
      <c r="OD16" s="21"/>
      <c r="OE16" s="21"/>
      <c r="OF16" s="24"/>
      <c r="OG16" s="24"/>
      <c r="OH16" s="24"/>
      <c r="OI16" s="24"/>
      <c r="OJ16" s="24"/>
      <c r="OK16" s="24"/>
      <c r="OL16" s="24"/>
      <c r="OM16" s="24"/>
      <c r="ON16" s="24"/>
      <c r="OO16" s="24"/>
      <c r="OP16" s="24"/>
      <c r="OQ16" s="24"/>
      <c r="OR16" s="24"/>
      <c r="OS16" s="24"/>
      <c r="OT16" s="24"/>
      <c r="OU16" s="24"/>
      <c r="OV16" s="24"/>
      <c r="OW16" s="24"/>
      <c r="OX16" s="24"/>
      <c r="OY16" s="24"/>
      <c r="OZ16" s="24"/>
      <c r="PA16" s="24"/>
      <c r="PB16" s="24"/>
      <c r="PC16" s="24"/>
      <c r="PD16" s="24"/>
      <c r="PE16" s="24"/>
      <c r="PF16" s="24"/>
      <c r="PG16" s="24"/>
      <c r="PH16" s="24"/>
      <c r="PI16" s="24"/>
      <c r="PJ16" s="24"/>
      <c r="PK16" s="24"/>
      <c r="PL16" s="24"/>
      <c r="PM16" s="24"/>
      <c r="PN16" s="24"/>
      <c r="PO16" s="24"/>
      <c r="PP16" s="24"/>
      <c r="PQ16" s="24"/>
      <c r="PR16" s="24"/>
      <c r="PS16" s="24"/>
      <c r="PT16" s="24"/>
      <c r="PU16" s="24"/>
      <c r="PV16" s="24"/>
      <c r="PW16" s="24"/>
      <c r="PX16" s="24"/>
      <c r="PY16" s="24"/>
      <c r="PZ16" s="24"/>
      <c r="QA16" s="24"/>
      <c r="QB16" s="24"/>
      <c r="QC16" s="24"/>
      <c r="QD16" s="24"/>
      <c r="QE16" s="24"/>
      <c r="QF16" s="24"/>
      <c r="QG16" s="24"/>
      <c r="QH16" s="24"/>
      <c r="QI16" s="24"/>
      <c r="QJ16" s="24"/>
      <c r="QK16" s="24"/>
      <c r="QL16" s="24"/>
      <c r="QM16" s="24"/>
      <c r="QN16" s="24"/>
      <c r="QO16" s="24"/>
      <c r="QP16" s="24"/>
      <c r="QQ16" s="24"/>
      <c r="QR16" s="24"/>
      <c r="QS16" s="24"/>
      <c r="QT16" s="24"/>
      <c r="QU16" s="24"/>
      <c r="QV16" s="24"/>
      <c r="QW16" s="24"/>
      <c r="QX16" s="24"/>
      <c r="QY16" s="24"/>
      <c r="QZ16" s="24"/>
      <c r="RA16" s="24"/>
      <c r="RB16" s="24"/>
      <c r="RC16" s="24"/>
      <c r="RD16" s="24"/>
      <c r="RE16" s="24"/>
      <c r="RF16" s="24"/>
      <c r="RG16" s="24"/>
      <c r="RH16" s="24"/>
      <c r="RI16" s="24"/>
      <c r="RJ16" s="24"/>
      <c r="RK16" s="24"/>
      <c r="RL16" s="24"/>
      <c r="RM16" s="24"/>
      <c r="RN16" s="24"/>
      <c r="RO16" s="24"/>
      <c r="RP16" s="24"/>
      <c r="RQ16" s="24"/>
      <c r="RR16" s="24"/>
      <c r="RS16" s="24"/>
      <c r="RT16" s="24"/>
      <c r="RU16" s="24"/>
      <c r="RV16" s="24"/>
      <c r="RW16" s="24"/>
      <c r="RX16" s="24"/>
      <c r="RY16" s="24"/>
      <c r="RZ16" s="24"/>
      <c r="SA16" s="24"/>
      <c r="SB16" s="24"/>
      <c r="SC16" s="24"/>
      <c r="SD16" s="24"/>
    </row>
    <row r="17" spans="1:498" ht="12" x14ac:dyDescent="0.3">
      <c r="A17" s="16">
        <v>13</v>
      </c>
      <c r="B17" s="20" t="s">
        <v>128</v>
      </c>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v>540.50086099999999</v>
      </c>
      <c r="AN17" s="24">
        <v>315.13318099999998</v>
      </c>
      <c r="AO17" s="24">
        <v>491.57689600000003</v>
      </c>
      <c r="AP17" s="24">
        <v>595.11250399999994</v>
      </c>
      <c r="AQ17" s="24">
        <v>406.39594700000004</v>
      </c>
      <c r="AR17" s="24">
        <v>474.55858799999999</v>
      </c>
      <c r="AS17" s="24">
        <v>499.95056399999999</v>
      </c>
      <c r="AT17" s="24">
        <v>35.676071999999991</v>
      </c>
      <c r="AU17" s="24">
        <v>55.528316000000004</v>
      </c>
      <c r="AV17" s="24">
        <v>91.249325999999996</v>
      </c>
      <c r="AW17" s="24">
        <v>125.79151999999999</v>
      </c>
      <c r="AX17" s="24">
        <v>148.45707199999998</v>
      </c>
      <c r="AY17" s="24">
        <v>176.72547700000001</v>
      </c>
      <c r="AZ17" s="24">
        <v>32.261601999999996</v>
      </c>
      <c r="BA17" s="24">
        <v>57.43769300000001</v>
      </c>
      <c r="BB17" s="24">
        <v>82.367003999999994</v>
      </c>
      <c r="BC17" s="24">
        <v>127.55958899999999</v>
      </c>
      <c r="BD17" s="24">
        <v>174.450512</v>
      </c>
      <c r="BE17" s="24">
        <v>220.06314599999999</v>
      </c>
      <c r="BF17" s="24">
        <v>28.028129</v>
      </c>
      <c r="BG17" s="24">
        <v>59.044678999999995</v>
      </c>
      <c r="BH17" s="24">
        <v>132.33680900000002</v>
      </c>
      <c r="BI17" s="24">
        <v>88.372070999999991</v>
      </c>
      <c r="BJ17" s="24">
        <v>164.15261899999999</v>
      </c>
      <c r="BK17" s="24">
        <v>200.53748899999999</v>
      </c>
      <c r="BL17" s="24">
        <v>20.756182999999996</v>
      </c>
      <c r="BM17" s="24">
        <v>33.674658999999998</v>
      </c>
      <c r="BN17" s="24">
        <v>71.143499000000006</v>
      </c>
      <c r="BO17" s="24">
        <v>97.219226999999989</v>
      </c>
      <c r="BP17" s="24">
        <v>113.70003800000001</v>
      </c>
      <c r="BQ17" s="24">
        <v>121.24142999999999</v>
      </c>
      <c r="BR17" s="24">
        <v>13.969910000000002</v>
      </c>
      <c r="BS17" s="24">
        <v>21.864702000000001</v>
      </c>
      <c r="BT17" s="24">
        <v>53.946574999999996</v>
      </c>
      <c r="BU17" s="24">
        <v>90.046987999999999</v>
      </c>
      <c r="BV17" s="24">
        <v>124.996875</v>
      </c>
      <c r="BW17" s="24">
        <v>156.30846700000001</v>
      </c>
      <c r="BX17" s="24">
        <v>19.999659999999995</v>
      </c>
      <c r="BY17" s="24">
        <v>27.404775000000001</v>
      </c>
      <c r="BZ17" s="24">
        <v>32.334966999999999</v>
      </c>
      <c r="CA17" s="24">
        <v>42.457343999999999</v>
      </c>
      <c r="CB17" s="24">
        <v>52.530320000000003</v>
      </c>
      <c r="CC17" s="24">
        <v>59.248577000000004</v>
      </c>
      <c r="CD17" s="24">
        <v>10.953931999999998</v>
      </c>
      <c r="CE17" s="24">
        <v>14.172915999999997</v>
      </c>
      <c r="CF17" s="24">
        <v>17.226813</v>
      </c>
      <c r="CG17" s="24">
        <v>22.226135000000003</v>
      </c>
      <c r="CH17" s="24">
        <v>32.855286999999997</v>
      </c>
      <c r="CI17" s="24">
        <v>39.029611000000003</v>
      </c>
      <c r="CJ17" s="24">
        <v>7.7072999999998615E-2</v>
      </c>
      <c r="CK17" s="24">
        <v>0.85053299999999865</v>
      </c>
      <c r="CL17" s="24">
        <v>1.5644549999999988</v>
      </c>
      <c r="CM17" s="24">
        <v>2.5782789999999984</v>
      </c>
      <c r="CN17" s="24">
        <v>2.6433579999999992</v>
      </c>
      <c r="CO17" s="24">
        <v>4.9398929999999979</v>
      </c>
      <c r="CP17" s="24">
        <v>0</v>
      </c>
      <c r="CQ17" s="24">
        <v>0</v>
      </c>
      <c r="CR17" s="24">
        <v>0.25597899999999996</v>
      </c>
      <c r="CS17" s="24">
        <v>0.25593800000000044</v>
      </c>
      <c r="CT17" s="24">
        <v>0.25589700000000093</v>
      </c>
      <c r="CU17" s="24">
        <v>0.38383500000000126</v>
      </c>
      <c r="CV17" s="24">
        <v>0</v>
      </c>
      <c r="CW17" s="24">
        <v>0.12145200000000145</v>
      </c>
      <c r="CX17" s="24">
        <v>0.12144199999999827</v>
      </c>
      <c r="CY17" s="24">
        <v>0.12129499999999993</v>
      </c>
      <c r="CZ17" s="24">
        <v>0.12012100000000103</v>
      </c>
      <c r="DA17" s="24">
        <v>0.12010100000000179</v>
      </c>
      <c r="DB17" s="24">
        <v>0</v>
      </c>
      <c r="DC17" s="24">
        <v>0.49991800000000097</v>
      </c>
      <c r="DD17" s="24">
        <v>0.49690299999999965</v>
      </c>
      <c r="DE17" s="24">
        <v>0.49413100000000298</v>
      </c>
      <c r="DF17" s="24">
        <v>0.49983699999999942</v>
      </c>
      <c r="DG17" s="24">
        <v>0.48924000000000234</v>
      </c>
      <c r="DH17" s="24">
        <v>0</v>
      </c>
      <c r="DI17" s="24">
        <v>0</v>
      </c>
      <c r="DJ17" s="30">
        <v>1.0001660000000001</v>
      </c>
      <c r="DK17" s="30">
        <v>1</v>
      </c>
      <c r="DL17" s="30">
        <v>0.97070300000000032</v>
      </c>
      <c r="DM17" s="30">
        <v>0.97053700000000021</v>
      </c>
      <c r="DN17" s="30">
        <v>0.69399800000000056</v>
      </c>
      <c r="DO17" s="30">
        <v>0.67335899999999782</v>
      </c>
      <c r="DP17" s="30">
        <v>0.67323599999999928</v>
      </c>
      <c r="DQ17" s="30">
        <v>0.67002300000000048</v>
      </c>
      <c r="DR17" s="30">
        <v>0.64586199999999749</v>
      </c>
      <c r="DS17" s="30">
        <v>0.6566749999999999</v>
      </c>
      <c r="DT17" s="30">
        <v>0</v>
      </c>
      <c r="DU17" s="30">
        <v>0</v>
      </c>
      <c r="DV17" s="30">
        <v>0</v>
      </c>
      <c r="DW17" s="30">
        <v>0</v>
      </c>
      <c r="DX17" s="30">
        <v>0</v>
      </c>
      <c r="DY17" s="30">
        <v>0</v>
      </c>
      <c r="DZ17" s="30">
        <v>0</v>
      </c>
      <c r="EA17" s="30">
        <v>0</v>
      </c>
      <c r="EB17" s="30">
        <v>0</v>
      </c>
      <c r="EC17" s="30">
        <v>0</v>
      </c>
      <c r="ED17" s="30">
        <v>0</v>
      </c>
      <c r="EE17" s="30">
        <v>0</v>
      </c>
      <c r="EF17" s="30">
        <v>0</v>
      </c>
      <c r="EG17" s="30">
        <v>0</v>
      </c>
      <c r="EH17" s="30">
        <v>0</v>
      </c>
      <c r="EI17" s="30">
        <v>0</v>
      </c>
      <c r="EJ17" s="30">
        <v>0</v>
      </c>
      <c r="EK17" s="30">
        <v>0</v>
      </c>
      <c r="EL17" s="30">
        <v>0</v>
      </c>
      <c r="EM17" s="30">
        <v>0</v>
      </c>
      <c r="EN17" s="30">
        <v>0</v>
      </c>
      <c r="EO17" s="30">
        <v>0</v>
      </c>
      <c r="EP17" s="30">
        <v>0</v>
      </c>
      <c r="EQ17" s="30">
        <v>0</v>
      </c>
      <c r="ER17" s="30">
        <v>0</v>
      </c>
      <c r="ES17" s="30">
        <v>0</v>
      </c>
      <c r="ET17" s="30">
        <v>0</v>
      </c>
      <c r="EU17" s="30">
        <v>0</v>
      </c>
      <c r="EV17" s="30">
        <v>0</v>
      </c>
      <c r="EW17" s="30">
        <v>0</v>
      </c>
      <c r="EX17" s="30">
        <v>0</v>
      </c>
      <c r="EY17" s="30">
        <v>0</v>
      </c>
      <c r="EZ17" s="30">
        <v>0</v>
      </c>
      <c r="FA17" s="30">
        <v>0</v>
      </c>
      <c r="FB17" s="30">
        <v>0</v>
      </c>
      <c r="FC17" s="30">
        <v>0</v>
      </c>
      <c r="FD17" s="30">
        <v>0</v>
      </c>
      <c r="FE17" s="30">
        <v>0</v>
      </c>
      <c r="FF17" s="30">
        <v>0</v>
      </c>
      <c r="FG17" s="30">
        <v>0</v>
      </c>
      <c r="FH17" s="30">
        <v>0</v>
      </c>
      <c r="FI17" s="30">
        <v>0</v>
      </c>
      <c r="FJ17" s="30">
        <v>0</v>
      </c>
      <c r="FK17" s="30">
        <v>0</v>
      </c>
      <c r="FL17" s="30">
        <v>0</v>
      </c>
      <c r="FM17" s="30">
        <v>0</v>
      </c>
      <c r="FN17" s="30">
        <v>0</v>
      </c>
      <c r="FO17" s="30">
        <v>0</v>
      </c>
      <c r="FP17" s="30">
        <v>0</v>
      </c>
      <c r="FQ17" s="30">
        <v>0</v>
      </c>
      <c r="FR17" s="30">
        <v>0</v>
      </c>
      <c r="FS17" s="30">
        <v>0</v>
      </c>
      <c r="FT17" s="30"/>
      <c r="FU17" s="30"/>
      <c r="FV17" s="30"/>
      <c r="FW17" s="30"/>
      <c r="FX17" s="30"/>
      <c r="FY17" s="30"/>
      <c r="FZ17" s="30"/>
      <c r="GA17" s="30"/>
      <c r="GB17" s="30"/>
      <c r="GC17" s="30"/>
      <c r="GD17" s="30"/>
      <c r="GE17" s="30"/>
      <c r="GF17" s="30"/>
      <c r="GG17" s="30"/>
      <c r="GH17" s="30"/>
      <c r="GI17" s="30"/>
      <c r="GJ17" s="30"/>
      <c r="GK17" s="30"/>
      <c r="GL17" s="30"/>
      <c r="GM17" s="30"/>
      <c r="GN17" s="30"/>
      <c r="GO17" s="30"/>
      <c r="GP17" s="30"/>
      <c r="GQ17" s="30"/>
      <c r="GR17" s="30"/>
      <c r="GS17" s="30"/>
      <c r="GT17" s="30"/>
      <c r="GU17" s="30"/>
      <c r="GV17" s="30"/>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c r="IU17" s="21"/>
      <c r="IV17" s="21"/>
      <c r="IW17" s="21"/>
      <c r="IX17" s="21"/>
      <c r="IY17" s="21"/>
      <c r="IZ17" s="21"/>
      <c r="JA17" s="21"/>
      <c r="JB17" s="21"/>
      <c r="JC17" s="21"/>
      <c r="JD17" s="21"/>
      <c r="JE17" s="21"/>
      <c r="JF17" s="21"/>
      <c r="JG17" s="21"/>
      <c r="JH17" s="21"/>
      <c r="JI17" s="21"/>
      <c r="JJ17" s="21"/>
      <c r="JK17" s="21"/>
      <c r="JL17" s="21"/>
      <c r="JM17" s="21"/>
      <c r="JN17" s="21"/>
      <c r="JO17" s="21"/>
      <c r="JP17" s="21"/>
      <c r="JQ17" s="21"/>
      <c r="JR17" s="21"/>
      <c r="JS17" s="21"/>
      <c r="JT17" s="21"/>
      <c r="JU17" s="21"/>
      <c r="JV17" s="21"/>
      <c r="JW17" s="21"/>
      <c r="JX17" s="21"/>
      <c r="JY17" s="21"/>
      <c r="JZ17" s="21"/>
      <c r="KA17" s="21"/>
      <c r="KB17" s="21"/>
      <c r="KC17" s="21"/>
      <c r="KD17" s="21"/>
      <c r="KE17" s="21"/>
      <c r="KF17" s="21"/>
      <c r="KG17" s="21"/>
      <c r="KH17" s="21"/>
      <c r="KI17" s="21"/>
      <c r="KJ17" s="21"/>
      <c r="KK17" s="21"/>
      <c r="KL17" s="21"/>
      <c r="KM17" s="21"/>
      <c r="KN17" s="21"/>
      <c r="KO17" s="21"/>
      <c r="KP17" s="21"/>
      <c r="KQ17" s="21"/>
      <c r="KR17" s="21"/>
      <c r="KS17" s="21"/>
      <c r="KT17" s="21"/>
      <c r="KU17" s="21"/>
      <c r="KV17" s="21"/>
      <c r="KW17" s="21"/>
      <c r="KX17" s="21"/>
      <c r="KY17" s="21"/>
      <c r="KZ17" s="21"/>
      <c r="LA17" s="21"/>
      <c r="LB17" s="21"/>
      <c r="LC17" s="21"/>
      <c r="LD17" s="21"/>
      <c r="LE17" s="21"/>
      <c r="LF17" s="21"/>
      <c r="LG17" s="21"/>
      <c r="LH17" s="21"/>
      <c r="LI17" s="21"/>
      <c r="LJ17" s="21"/>
      <c r="LK17" s="21"/>
      <c r="LL17" s="21"/>
      <c r="LM17" s="21"/>
      <c r="LN17" s="21"/>
      <c r="LO17" s="21"/>
      <c r="OF17" s="24"/>
      <c r="OG17" s="24"/>
      <c r="OH17" s="24"/>
      <c r="OI17" s="24"/>
      <c r="OJ17" s="24"/>
      <c r="OK17" s="24"/>
      <c r="OL17" s="24"/>
      <c r="OM17" s="24"/>
      <c r="ON17" s="24"/>
      <c r="OO17" s="24"/>
      <c r="OP17" s="24"/>
      <c r="OQ17" s="24"/>
      <c r="OR17" s="24"/>
      <c r="OS17" s="24"/>
      <c r="OT17" s="24"/>
      <c r="OU17" s="24"/>
      <c r="OV17" s="24"/>
      <c r="OW17" s="24"/>
      <c r="OX17" s="24"/>
      <c r="OY17" s="24"/>
      <c r="OZ17" s="24"/>
      <c r="PA17" s="24"/>
      <c r="PB17" s="24"/>
      <c r="PC17" s="24"/>
      <c r="PD17" s="24"/>
      <c r="PE17" s="24"/>
      <c r="PF17" s="24"/>
      <c r="PG17" s="24"/>
      <c r="PH17" s="24"/>
      <c r="PI17" s="24"/>
      <c r="PJ17" s="24"/>
      <c r="PK17" s="24"/>
      <c r="PL17" s="24"/>
      <c r="PM17" s="24"/>
      <c r="PN17" s="24"/>
      <c r="PO17" s="24"/>
      <c r="PP17" s="24"/>
      <c r="PQ17" s="24"/>
      <c r="PR17" s="24"/>
      <c r="PS17" s="24"/>
      <c r="PT17" s="24"/>
      <c r="PU17" s="24"/>
      <c r="PV17" s="24"/>
      <c r="PW17" s="24"/>
      <c r="PX17" s="24"/>
      <c r="PY17" s="24"/>
      <c r="PZ17" s="24"/>
      <c r="QA17" s="24"/>
      <c r="QB17" s="24"/>
      <c r="QC17" s="24"/>
      <c r="QD17" s="24"/>
      <c r="QE17" s="24"/>
      <c r="QF17" s="24"/>
      <c r="QG17" s="24"/>
      <c r="QH17" s="24"/>
      <c r="QI17" s="24"/>
      <c r="QJ17" s="24"/>
      <c r="QK17" s="24"/>
      <c r="QL17" s="24"/>
      <c r="QM17" s="24"/>
      <c r="QN17" s="24"/>
      <c r="QO17" s="24"/>
      <c r="QP17" s="24"/>
      <c r="QQ17" s="24"/>
      <c r="QR17" s="24"/>
      <c r="QS17" s="24"/>
      <c r="QT17" s="24"/>
      <c r="QU17" s="24"/>
      <c r="QV17" s="24"/>
      <c r="QW17" s="24"/>
      <c r="QX17" s="24"/>
      <c r="QY17" s="24"/>
      <c r="QZ17" s="24"/>
      <c r="RA17" s="24"/>
      <c r="RB17" s="24"/>
      <c r="RC17" s="24"/>
      <c r="RD17" s="24"/>
      <c r="RE17" s="24"/>
      <c r="RF17" s="24"/>
      <c r="RG17" s="24"/>
      <c r="RH17" s="24"/>
      <c r="RI17" s="24"/>
      <c r="RJ17" s="24"/>
      <c r="RK17" s="24"/>
      <c r="RL17" s="24"/>
      <c r="RM17" s="24"/>
      <c r="RN17" s="24"/>
      <c r="RO17" s="24"/>
      <c r="RP17" s="24"/>
      <c r="RQ17" s="24"/>
      <c r="RR17" s="24"/>
      <c r="RS17" s="24"/>
      <c r="RT17" s="24"/>
      <c r="RU17" s="24"/>
      <c r="RV17" s="24"/>
      <c r="RW17" s="24"/>
      <c r="RX17" s="24"/>
      <c r="RY17" s="24"/>
      <c r="RZ17" s="24"/>
      <c r="SA17" s="24"/>
      <c r="SB17" s="24"/>
      <c r="SC17" s="24"/>
      <c r="SD17" s="24"/>
    </row>
    <row r="18" spans="1:498" ht="12" x14ac:dyDescent="0.3">
      <c r="A18" s="16">
        <v>14</v>
      </c>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c r="FH18" s="30"/>
      <c r="FI18" s="30"/>
      <c r="FJ18" s="30"/>
      <c r="FK18" s="30"/>
      <c r="FL18" s="30"/>
      <c r="FM18" s="30"/>
      <c r="FN18" s="30"/>
      <c r="FO18" s="30"/>
      <c r="FP18" s="30"/>
      <c r="FQ18" s="30"/>
      <c r="FR18" s="30"/>
      <c r="FS18" s="30"/>
      <c r="FT18" s="30"/>
      <c r="FU18" s="30"/>
      <c r="FV18" s="30"/>
      <c r="FW18" s="30"/>
      <c r="FX18" s="30"/>
      <c r="FY18" s="30"/>
      <c r="FZ18" s="30"/>
      <c r="GA18" s="30"/>
      <c r="GB18" s="30"/>
      <c r="GC18" s="30"/>
      <c r="GD18" s="30"/>
      <c r="GE18" s="30"/>
      <c r="GF18" s="30"/>
      <c r="GG18" s="30"/>
      <c r="GH18" s="30"/>
      <c r="GI18" s="30"/>
      <c r="GJ18" s="30"/>
      <c r="GK18" s="30"/>
      <c r="GL18" s="30"/>
      <c r="GM18" s="30"/>
      <c r="GN18" s="30"/>
      <c r="GO18" s="30"/>
      <c r="GP18" s="30"/>
      <c r="GQ18" s="30"/>
      <c r="GR18" s="30"/>
      <c r="GS18" s="30"/>
      <c r="GT18" s="30"/>
      <c r="GU18" s="30"/>
      <c r="GV18" s="30"/>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21"/>
      <c r="IO18" s="21"/>
      <c r="IP18" s="21"/>
      <c r="IQ18" s="21"/>
      <c r="IR18" s="21"/>
      <c r="IS18" s="21"/>
      <c r="IT18" s="21"/>
      <c r="IU18" s="21"/>
      <c r="IV18" s="21"/>
      <c r="IW18" s="21"/>
      <c r="IX18" s="21"/>
      <c r="IY18" s="21"/>
      <c r="IZ18" s="21"/>
      <c r="JA18" s="21"/>
      <c r="JB18" s="21"/>
      <c r="JC18" s="21"/>
      <c r="JD18" s="21"/>
      <c r="JE18" s="21"/>
      <c r="JF18" s="21"/>
      <c r="JG18" s="21"/>
      <c r="JH18" s="21"/>
      <c r="JI18" s="21"/>
      <c r="JJ18" s="21"/>
      <c r="JK18" s="21"/>
      <c r="JL18" s="21"/>
      <c r="JM18" s="21"/>
      <c r="JN18" s="21"/>
      <c r="JO18" s="21"/>
      <c r="JP18" s="21"/>
      <c r="JQ18" s="21"/>
      <c r="JR18" s="21"/>
      <c r="JS18" s="21"/>
      <c r="JT18" s="21"/>
      <c r="JU18" s="21"/>
      <c r="JV18" s="21"/>
      <c r="JW18" s="21"/>
      <c r="JX18" s="21"/>
      <c r="JY18" s="21"/>
      <c r="JZ18" s="21"/>
      <c r="KA18" s="21"/>
      <c r="KB18" s="21"/>
      <c r="KC18" s="21"/>
      <c r="KD18" s="21"/>
      <c r="KE18" s="21"/>
      <c r="KF18" s="21"/>
      <c r="KG18" s="21"/>
      <c r="KH18" s="21"/>
      <c r="KI18" s="21"/>
      <c r="KJ18" s="21"/>
      <c r="KK18" s="21"/>
      <c r="KL18" s="21"/>
      <c r="KM18" s="21"/>
      <c r="KN18" s="21"/>
      <c r="KO18" s="21"/>
      <c r="KP18" s="21"/>
      <c r="KQ18" s="21"/>
      <c r="KR18" s="21"/>
      <c r="KS18" s="21"/>
      <c r="KT18" s="21"/>
      <c r="KU18" s="21"/>
      <c r="KV18" s="21"/>
      <c r="KW18" s="21"/>
      <c r="KX18" s="21"/>
      <c r="KY18" s="21"/>
      <c r="KZ18" s="21"/>
      <c r="LA18" s="21"/>
      <c r="LB18" s="21"/>
      <c r="LC18" s="21"/>
      <c r="LD18" s="21"/>
      <c r="LE18" s="21"/>
      <c r="LF18" s="21"/>
      <c r="LG18" s="21"/>
      <c r="LH18" s="21"/>
      <c r="LI18" s="21"/>
      <c r="LJ18" s="21"/>
      <c r="LK18" s="21"/>
      <c r="LL18" s="21"/>
      <c r="LM18" s="21"/>
      <c r="LN18" s="21"/>
      <c r="LO18" s="21"/>
      <c r="LP18" s="21"/>
      <c r="LQ18" s="21"/>
      <c r="LR18" s="21"/>
      <c r="LS18" s="21"/>
      <c r="LT18" s="21"/>
      <c r="LU18" s="21"/>
      <c r="LV18" s="21"/>
      <c r="LW18" s="21"/>
      <c r="LX18" s="21"/>
      <c r="LY18" s="21"/>
      <c r="LZ18" s="21"/>
      <c r="MA18" s="21"/>
      <c r="MB18" s="21"/>
      <c r="MC18" s="21"/>
      <c r="MD18" s="21"/>
      <c r="ME18" s="21"/>
      <c r="MF18" s="21"/>
      <c r="MG18" s="21"/>
      <c r="MH18" s="21"/>
      <c r="MI18" s="21"/>
      <c r="MJ18" s="21"/>
      <c r="MK18" s="21"/>
      <c r="ML18" s="21"/>
      <c r="MM18" s="21"/>
      <c r="MN18" s="21"/>
      <c r="MO18" s="21"/>
      <c r="MP18" s="21"/>
      <c r="MQ18" s="21"/>
      <c r="MR18" s="21"/>
      <c r="MS18" s="21"/>
      <c r="MT18" s="21"/>
      <c r="MU18" s="21"/>
      <c r="MV18" s="21"/>
      <c r="MW18" s="21"/>
      <c r="MX18" s="21"/>
      <c r="MY18" s="21"/>
      <c r="MZ18" s="21"/>
      <c r="NA18" s="21"/>
      <c r="NB18" s="21"/>
      <c r="NC18" s="21"/>
      <c r="ND18" s="21"/>
      <c r="NE18" s="21"/>
      <c r="NF18" s="21"/>
      <c r="NG18" s="21"/>
      <c r="NH18" s="21"/>
      <c r="NI18" s="21"/>
      <c r="NJ18" s="21"/>
      <c r="NK18" s="21"/>
      <c r="NL18" s="21"/>
      <c r="NM18" s="21"/>
      <c r="NN18" s="21"/>
      <c r="NO18" s="21"/>
      <c r="NP18" s="21"/>
      <c r="NQ18" s="21"/>
      <c r="NR18" s="21"/>
      <c r="NS18" s="21"/>
      <c r="NT18" s="21"/>
      <c r="NU18" s="21"/>
      <c r="NV18" s="21"/>
      <c r="NW18" s="21"/>
      <c r="NX18" s="21"/>
      <c r="NY18" s="21"/>
      <c r="NZ18" s="21"/>
      <c r="OA18" s="21"/>
      <c r="OB18" s="21"/>
      <c r="OC18" s="21"/>
      <c r="OD18" s="21"/>
      <c r="OE18" s="21"/>
      <c r="OF18" s="24"/>
      <c r="OG18" s="24"/>
      <c r="OH18" s="24"/>
      <c r="OI18" s="24"/>
      <c r="OJ18" s="24"/>
      <c r="OK18" s="24"/>
      <c r="OL18" s="24"/>
      <c r="OM18" s="24"/>
      <c r="ON18" s="24"/>
      <c r="OO18" s="24"/>
      <c r="OP18" s="24"/>
      <c r="OQ18" s="24"/>
      <c r="OR18" s="24"/>
      <c r="OS18" s="24"/>
      <c r="OT18" s="24"/>
      <c r="OU18" s="24"/>
      <c r="OV18" s="24"/>
      <c r="OW18" s="24"/>
      <c r="OX18" s="24"/>
      <c r="OY18" s="24"/>
      <c r="OZ18" s="24"/>
      <c r="PA18" s="24"/>
      <c r="PB18" s="24"/>
      <c r="PC18" s="24"/>
      <c r="PD18" s="24"/>
      <c r="PE18" s="24"/>
      <c r="PF18" s="24"/>
      <c r="PG18" s="24"/>
      <c r="PH18" s="24"/>
      <c r="PI18" s="24"/>
      <c r="PJ18" s="24"/>
      <c r="PK18" s="24"/>
      <c r="PL18" s="24"/>
      <c r="PM18" s="24"/>
      <c r="PN18" s="24"/>
      <c r="PO18" s="24"/>
      <c r="PP18" s="24"/>
      <c r="PQ18" s="24"/>
      <c r="PR18" s="24"/>
      <c r="PS18" s="24"/>
      <c r="PT18" s="24"/>
      <c r="PU18" s="24"/>
      <c r="PV18" s="24"/>
      <c r="PW18" s="24"/>
      <c r="PX18" s="24"/>
      <c r="PY18" s="24"/>
      <c r="PZ18" s="24"/>
      <c r="QA18" s="24"/>
      <c r="QB18" s="24"/>
      <c r="QC18" s="24"/>
      <c r="QD18" s="24"/>
      <c r="QE18" s="24"/>
      <c r="QF18" s="24"/>
      <c r="QG18" s="24"/>
      <c r="QH18" s="24"/>
      <c r="QI18" s="24"/>
      <c r="QJ18" s="24"/>
      <c r="QK18" s="24"/>
      <c r="QL18" s="24"/>
      <c r="QM18" s="24"/>
      <c r="QN18" s="24"/>
      <c r="QO18" s="24"/>
      <c r="QP18" s="24"/>
      <c r="QQ18" s="24"/>
      <c r="QR18" s="24"/>
      <c r="QS18" s="24"/>
      <c r="QT18" s="24"/>
      <c r="QU18" s="24"/>
      <c r="QV18" s="24"/>
      <c r="QW18" s="24"/>
      <c r="QX18" s="24"/>
      <c r="QY18" s="24"/>
      <c r="QZ18" s="24"/>
      <c r="RA18" s="24"/>
      <c r="RB18" s="24"/>
      <c r="RC18" s="24"/>
      <c r="RD18" s="24"/>
      <c r="RE18" s="24"/>
      <c r="RF18" s="24"/>
      <c r="RG18" s="24"/>
      <c r="RH18" s="24"/>
      <c r="RI18" s="24"/>
      <c r="RJ18" s="24"/>
      <c r="RK18" s="24"/>
      <c r="RL18" s="24"/>
      <c r="RM18" s="24"/>
      <c r="RN18" s="24"/>
      <c r="RO18" s="24"/>
      <c r="RP18" s="24"/>
      <c r="RQ18" s="24"/>
      <c r="RR18" s="24"/>
      <c r="RS18" s="24"/>
      <c r="RT18" s="24"/>
      <c r="RU18" s="24"/>
      <c r="RV18" s="24"/>
      <c r="RW18" s="24"/>
      <c r="RX18" s="24"/>
      <c r="RY18" s="24"/>
      <c r="RZ18" s="24"/>
      <c r="SA18" s="24"/>
      <c r="SB18" s="24"/>
      <c r="SC18" s="24"/>
      <c r="SD18" s="24"/>
    </row>
    <row r="19" spans="1:498" ht="12" x14ac:dyDescent="0.3">
      <c r="A19" s="16">
        <v>15</v>
      </c>
      <c r="B19" s="20" t="s">
        <v>129</v>
      </c>
      <c r="C19" s="27">
        <v>3792.0509440000001</v>
      </c>
      <c r="D19" s="27">
        <v>3918.2043509999999</v>
      </c>
      <c r="E19" s="27">
        <v>3602.9901529999993</v>
      </c>
      <c r="F19" s="27">
        <v>4007.0645660000005</v>
      </c>
      <c r="G19" s="27">
        <v>4321.9859769999994</v>
      </c>
      <c r="H19" s="27">
        <v>4575.3279059999995</v>
      </c>
      <c r="I19" s="27">
        <v>4103.5394740000002</v>
      </c>
      <c r="J19" s="27">
        <v>3857.6042550000002</v>
      </c>
      <c r="K19" s="27">
        <v>3490.4040810000001</v>
      </c>
      <c r="L19" s="27">
        <v>4353.3703539999997</v>
      </c>
      <c r="M19" s="27">
        <v>3668.8799779999995</v>
      </c>
      <c r="N19" s="27">
        <v>3451.1235320000005</v>
      </c>
      <c r="O19" s="27">
        <v>2622.0499999999997</v>
      </c>
      <c r="P19" s="27">
        <v>2869.4521439999999</v>
      </c>
      <c r="Q19" s="27">
        <v>3906.9429440000004</v>
      </c>
      <c r="R19" s="27">
        <v>3947.4860140000001</v>
      </c>
      <c r="S19" s="27">
        <v>4164.8411400000005</v>
      </c>
      <c r="T19" s="27">
        <v>3884.3417130000003</v>
      </c>
      <c r="U19" s="27">
        <v>3841.4849830000003</v>
      </c>
      <c r="V19" s="27">
        <v>3980.6705480000005</v>
      </c>
      <c r="W19" s="27">
        <v>4124.6200679999993</v>
      </c>
      <c r="X19" s="27">
        <v>3635.4181870000002</v>
      </c>
      <c r="Y19" s="27">
        <v>4548.5911429999996</v>
      </c>
      <c r="Z19" s="27">
        <v>4093.6840159999997</v>
      </c>
      <c r="AA19" s="27">
        <v>2957.6202840000001</v>
      </c>
      <c r="AB19" s="27">
        <v>3371.3787629999997</v>
      </c>
      <c r="AC19" s="27">
        <v>3375.5372480000001</v>
      </c>
      <c r="AD19" s="27">
        <v>3368.0891019999999</v>
      </c>
      <c r="AE19" s="27">
        <v>3787.3850979999993</v>
      </c>
      <c r="AF19" s="27">
        <v>3918.0823879999998</v>
      </c>
      <c r="AG19" s="27">
        <v>3930.9167700000003</v>
      </c>
      <c r="AH19" s="27">
        <v>4040.3207910000006</v>
      </c>
      <c r="AI19" s="27">
        <v>4218.8139609999998</v>
      </c>
      <c r="AJ19" s="27">
        <v>4883.431682999998</v>
      </c>
      <c r="AK19" s="27">
        <v>4033.1888179999996</v>
      </c>
      <c r="AL19" s="27">
        <v>3442.9640979999999</v>
      </c>
      <c r="AM19" s="27">
        <v>2482.528069</v>
      </c>
      <c r="AN19" s="27">
        <v>2827.1006069999999</v>
      </c>
      <c r="AO19" s="27">
        <v>4212.8118990000003</v>
      </c>
      <c r="AP19" s="27">
        <v>4373.02639</v>
      </c>
      <c r="AQ19" s="27">
        <v>4660.8657289999992</v>
      </c>
      <c r="AR19" s="27">
        <v>4191.0997150000003</v>
      </c>
      <c r="AS19" s="27">
        <v>3760.54493</v>
      </c>
      <c r="AT19" s="27">
        <v>3670.0080170000001</v>
      </c>
      <c r="AU19" s="27">
        <v>4508.1204420000004</v>
      </c>
      <c r="AV19" s="27">
        <v>4233.4999710000002</v>
      </c>
      <c r="AW19" s="27">
        <v>4206.0046299999995</v>
      </c>
      <c r="AX19" s="27">
        <v>4051.0578420000002</v>
      </c>
      <c r="AY19" s="27">
        <v>4360.5216580000006</v>
      </c>
      <c r="AZ19" s="27">
        <v>4182.7264599999999</v>
      </c>
      <c r="BA19" s="27">
        <v>4332.4056269999992</v>
      </c>
      <c r="BB19" s="27">
        <v>3976.2516280000009</v>
      </c>
      <c r="BC19" s="27">
        <v>3568.8924619999998</v>
      </c>
      <c r="BD19" s="27">
        <v>4010.3070989999997</v>
      </c>
      <c r="BE19" s="27">
        <v>5822.4181969999991</v>
      </c>
      <c r="BF19" s="27">
        <v>5557.3942390000011</v>
      </c>
      <c r="BG19" s="27">
        <v>6171.2039249999998</v>
      </c>
      <c r="BH19" s="27">
        <v>6002.5727770000003</v>
      </c>
      <c r="BI19" s="27">
        <v>6689.2281199999998</v>
      </c>
      <c r="BJ19" s="27">
        <v>5863.3020500000002</v>
      </c>
      <c r="BK19" s="27">
        <v>3949.0695759999999</v>
      </c>
      <c r="BL19" s="27">
        <v>3654.6880020000003</v>
      </c>
      <c r="BM19" s="27">
        <v>3717.3013889999997</v>
      </c>
      <c r="BN19" s="27">
        <v>3667.7366609999999</v>
      </c>
      <c r="BO19" s="27">
        <v>3439.9275309999998</v>
      </c>
      <c r="BP19" s="27">
        <v>4567.4590560000006</v>
      </c>
      <c r="BQ19" s="27">
        <v>4739.1913859999995</v>
      </c>
      <c r="BR19" s="27">
        <v>4771.9663650000002</v>
      </c>
      <c r="BS19" s="27">
        <v>4201.4078630000004</v>
      </c>
      <c r="BT19" s="27">
        <v>3511.5641059999994</v>
      </c>
      <c r="BU19" s="27">
        <v>3308.3629830000004</v>
      </c>
      <c r="BV19" s="27">
        <v>3126.3197209999998</v>
      </c>
      <c r="BW19" s="27">
        <v>2495.9566260000001</v>
      </c>
      <c r="BX19" s="27">
        <v>3207.3593809999998</v>
      </c>
      <c r="BY19" s="27">
        <v>3341.6422339999999</v>
      </c>
      <c r="BZ19" s="27">
        <v>2573.0683099999997</v>
      </c>
      <c r="CA19" s="27">
        <v>2485.0236910000003</v>
      </c>
      <c r="CB19" s="27">
        <v>2158.5515359999999</v>
      </c>
      <c r="CC19" s="27">
        <v>3433.7593749999996</v>
      </c>
      <c r="CD19" s="27">
        <v>4295.8554720000011</v>
      </c>
      <c r="CE19" s="27">
        <v>4166.7200482000007</v>
      </c>
      <c r="CF19" s="27">
        <v>4472.9284119999993</v>
      </c>
      <c r="CG19" s="27">
        <v>4274.6257140000007</v>
      </c>
      <c r="CH19" s="27">
        <v>3907.3372180000001</v>
      </c>
      <c r="CI19" s="27">
        <v>4258.8499459999994</v>
      </c>
      <c r="CJ19" s="27">
        <v>4889.0536040000006</v>
      </c>
      <c r="CK19" s="27">
        <v>4774.3641169999992</v>
      </c>
      <c r="CL19" s="27">
        <v>3809.618426</v>
      </c>
      <c r="CM19" s="27">
        <v>3236.1216020000002</v>
      </c>
      <c r="CN19" s="27">
        <v>2790.0411439999998</v>
      </c>
      <c r="CO19" s="27">
        <v>4467.1464100000003</v>
      </c>
      <c r="CP19" s="27">
        <v>4260.9122989999996</v>
      </c>
      <c r="CQ19" s="27">
        <v>3650.480826</v>
      </c>
      <c r="CR19" s="27">
        <v>2362.3768380000001</v>
      </c>
      <c r="CS19" s="27">
        <v>4806.5891719999991</v>
      </c>
      <c r="CT19" s="27">
        <v>4018.4669810000005</v>
      </c>
      <c r="CU19" s="27">
        <v>2451.0657929999998</v>
      </c>
      <c r="CV19" s="27">
        <v>5706.5873609999999</v>
      </c>
      <c r="CW19" s="27">
        <v>5406.7848750000003</v>
      </c>
      <c r="CX19" s="27">
        <v>4868.0820779999995</v>
      </c>
      <c r="CY19" s="27">
        <v>4260.3534980000004</v>
      </c>
      <c r="CZ19" s="27">
        <v>3752.0349040000006</v>
      </c>
      <c r="DA19" s="27">
        <v>3166.7383739999991</v>
      </c>
      <c r="DB19" s="27">
        <v>3128.4664690000009</v>
      </c>
      <c r="DC19" s="27">
        <v>3050.1975729999999</v>
      </c>
      <c r="DD19" s="27">
        <v>2693.0061670000005</v>
      </c>
      <c r="DE19" s="27">
        <v>2730.363601</v>
      </c>
      <c r="DF19" s="27">
        <v>2382.2390989999999</v>
      </c>
      <c r="DG19" s="27">
        <v>2676.5249719999997</v>
      </c>
      <c r="DH19" s="27">
        <v>3635.8521559999999</v>
      </c>
      <c r="DI19" s="27">
        <v>3281.8184289999999</v>
      </c>
      <c r="DJ19" s="31">
        <v>3972.8416809999994</v>
      </c>
      <c r="DK19" s="31">
        <v>3488.324055</v>
      </c>
      <c r="DL19" s="31">
        <v>4083.6149720000003</v>
      </c>
      <c r="DM19" s="31">
        <v>4095.262397</v>
      </c>
      <c r="DN19" s="31">
        <v>3772.458498</v>
      </c>
      <c r="DO19" s="31">
        <v>3808.3865449999994</v>
      </c>
      <c r="DP19" s="31">
        <v>5130.3737029999993</v>
      </c>
      <c r="DQ19" s="31">
        <v>4097.8494660000006</v>
      </c>
      <c r="DR19" s="31">
        <v>3178.7085219999999</v>
      </c>
      <c r="DS19" s="31">
        <v>3397.1085990000001</v>
      </c>
      <c r="DT19" s="31">
        <v>3568.0297510000005</v>
      </c>
      <c r="DU19" s="31">
        <v>3280.3993610000002</v>
      </c>
      <c r="DV19" s="31">
        <v>3079.8184559999995</v>
      </c>
      <c r="DW19" s="31">
        <v>2964.9759799999997</v>
      </c>
      <c r="DX19" s="31">
        <v>2113.4978449999994</v>
      </c>
      <c r="DY19" s="31">
        <v>2177.7162639999997</v>
      </c>
      <c r="DZ19" s="31">
        <v>1990.1684579999999</v>
      </c>
      <c r="EA19" s="31">
        <v>2187.4830860000002</v>
      </c>
      <c r="EB19" s="31">
        <v>2297.2723470000001</v>
      </c>
      <c r="EC19" s="31">
        <v>2879.5790019999999</v>
      </c>
      <c r="ED19" s="31">
        <v>2915.483099</v>
      </c>
      <c r="EE19" s="31">
        <v>2860.4742350000001</v>
      </c>
      <c r="EF19" s="31">
        <v>3528.4129630000002</v>
      </c>
      <c r="EG19" s="31">
        <v>3986.247402</v>
      </c>
      <c r="EH19" s="31">
        <v>3541.9204639999998</v>
      </c>
      <c r="EI19" s="31">
        <v>3402.0322910000004</v>
      </c>
      <c r="EJ19" s="31">
        <v>3402.0322910000004</v>
      </c>
      <c r="EK19" s="31">
        <v>2986.0594470000001</v>
      </c>
      <c r="EL19" s="31">
        <v>2950.124296</v>
      </c>
      <c r="EM19" s="31">
        <v>3242.931662</v>
      </c>
      <c r="EN19" s="31">
        <v>2684.5779850000008</v>
      </c>
      <c r="EO19" s="31">
        <v>2665.6085410000001</v>
      </c>
      <c r="EP19" s="31">
        <v>2711.3847579999997</v>
      </c>
      <c r="EQ19" s="31">
        <v>2659.6773739999999</v>
      </c>
      <c r="ER19" s="31">
        <v>2901.66471</v>
      </c>
      <c r="ES19" s="31">
        <v>2838.1193960000001</v>
      </c>
      <c r="ET19" s="31">
        <v>3039.9523460000005</v>
      </c>
      <c r="EU19" s="31">
        <v>2819.665215</v>
      </c>
      <c r="EV19" s="31">
        <v>3109.1711640000003</v>
      </c>
      <c r="EW19" s="31">
        <v>3015.9277999999995</v>
      </c>
      <c r="EX19" s="31">
        <v>3182.2124479999998</v>
      </c>
      <c r="EY19" s="31">
        <v>3257.8133919999996</v>
      </c>
      <c r="EZ19" s="31">
        <v>3412.2132290000004</v>
      </c>
      <c r="FA19" s="31">
        <v>3523.3966129999999</v>
      </c>
      <c r="FB19" s="31">
        <v>3683.9822490000001</v>
      </c>
      <c r="FC19" s="31">
        <v>3636.6481869999993</v>
      </c>
      <c r="FD19" s="31">
        <v>3442.9823409999999</v>
      </c>
      <c r="FE19" s="31">
        <v>5196.1732009999996</v>
      </c>
      <c r="FF19" s="31">
        <v>5545.3142239999997</v>
      </c>
      <c r="FG19" s="31">
        <v>5624.6939109999994</v>
      </c>
      <c r="FH19" s="31">
        <v>5517.6193910000002</v>
      </c>
      <c r="FI19" s="31">
        <v>5517.6193910000002</v>
      </c>
      <c r="FJ19" s="31">
        <v>5511.3883649999998</v>
      </c>
      <c r="FK19" s="31">
        <v>5642.1968749999996</v>
      </c>
      <c r="FL19" s="31">
        <v>5440.8395279999995</v>
      </c>
      <c r="FM19" s="31">
        <v>5152.6556030000002</v>
      </c>
      <c r="FN19" s="31">
        <v>5066.6150699999998</v>
      </c>
      <c r="FO19" s="31">
        <v>5454.5534390000003</v>
      </c>
      <c r="FP19" s="31">
        <v>5584.0111349999997</v>
      </c>
      <c r="FQ19" s="31">
        <v>5537.1341770000008</v>
      </c>
      <c r="FR19" s="31">
        <v>7399.0122070000007</v>
      </c>
      <c r="FS19" s="31">
        <v>7195.6544210000011</v>
      </c>
      <c r="FT19" s="31">
        <v>7184.1481769999991</v>
      </c>
      <c r="FU19" s="31">
        <v>7054.5143609999986</v>
      </c>
      <c r="FV19" s="31">
        <v>6899.8852809999998</v>
      </c>
      <c r="FW19" s="31">
        <v>6590.8615399999999</v>
      </c>
      <c r="FX19" s="31">
        <v>6590.8615399999999</v>
      </c>
      <c r="FY19" s="31">
        <v>6401.844701</v>
      </c>
      <c r="FZ19" s="31">
        <v>6359.5524100000002</v>
      </c>
      <c r="GA19" s="31">
        <v>6144.3010810000005</v>
      </c>
      <c r="GB19" s="31">
        <v>5790.9268709999988</v>
      </c>
      <c r="GC19" s="31">
        <v>5790.9268709999988</v>
      </c>
      <c r="GD19" s="31">
        <v>5550.3305449999998</v>
      </c>
      <c r="GE19" s="31">
        <v>5789.6420620000008</v>
      </c>
      <c r="GF19" s="31">
        <v>5837.3776040000002</v>
      </c>
      <c r="GG19" s="31">
        <v>5752.2925079999995</v>
      </c>
      <c r="GH19" s="31">
        <v>5805.7717460000003</v>
      </c>
      <c r="GI19" s="31">
        <v>5439.3057150000004</v>
      </c>
      <c r="GJ19" s="31">
        <v>5813.8512840000003</v>
      </c>
      <c r="GK19" s="31">
        <v>5960.7102150000001</v>
      </c>
      <c r="GL19" s="31">
        <v>5788.4938629999997</v>
      </c>
      <c r="GM19" s="31">
        <v>5788.4938629999997</v>
      </c>
      <c r="GN19" s="31">
        <v>5708.6515520000003</v>
      </c>
      <c r="GO19" s="31">
        <v>6055.9519810000002</v>
      </c>
      <c r="GP19" s="31">
        <v>6168.8497179999995</v>
      </c>
      <c r="GQ19" s="31">
        <v>5932.314883</v>
      </c>
      <c r="GR19" s="31">
        <v>5923.2699600000005</v>
      </c>
      <c r="GS19" s="31">
        <v>5927.8972960000001</v>
      </c>
      <c r="GT19" s="31">
        <v>6237.9966059999997</v>
      </c>
      <c r="GU19" s="31">
        <v>6346.3577580000001</v>
      </c>
      <c r="GV19" s="31">
        <v>6286.5516689999995</v>
      </c>
      <c r="GW19" s="31">
        <v>6048.8075359999993</v>
      </c>
      <c r="GX19" s="31">
        <v>5900.5811379999996</v>
      </c>
      <c r="GY19" s="31">
        <v>5830.3262610000002</v>
      </c>
      <c r="GZ19" s="31">
        <v>5933.9564460000011</v>
      </c>
      <c r="HA19" s="31">
        <v>5604.5790609999995</v>
      </c>
      <c r="HB19" s="31">
        <v>5405.2939980000001</v>
      </c>
      <c r="HC19" s="31">
        <v>5405.2939980000001</v>
      </c>
      <c r="HD19" s="31">
        <v>4938.9461249999995</v>
      </c>
      <c r="HE19" s="31">
        <v>5216.7733339999995</v>
      </c>
      <c r="HF19" s="31">
        <v>5259.2963440000003</v>
      </c>
      <c r="HG19" s="31">
        <v>5964.8607080000002</v>
      </c>
      <c r="HH19" s="31">
        <v>5872.3521449999998</v>
      </c>
      <c r="HI19" s="31">
        <v>6401.2815649999993</v>
      </c>
      <c r="HJ19" s="31">
        <v>6553.7851639999999</v>
      </c>
      <c r="HK19" s="31">
        <v>6466.4087789999994</v>
      </c>
      <c r="HL19" s="31">
        <v>6344.1555310000003</v>
      </c>
      <c r="HM19" s="31">
        <v>6294.5271580000008</v>
      </c>
      <c r="HN19" s="31">
        <v>6891.1795420000008</v>
      </c>
      <c r="HO19" s="31">
        <v>6970.7004560000005</v>
      </c>
      <c r="HP19" s="31">
        <v>7079.5157149999995</v>
      </c>
      <c r="HQ19" s="31">
        <v>7258.1119089999993</v>
      </c>
      <c r="HR19" s="31">
        <v>7549.6139359999997</v>
      </c>
      <c r="HS19" s="31">
        <v>7549.6139359999997</v>
      </c>
      <c r="HT19" s="31">
        <v>7445.3879930000003</v>
      </c>
      <c r="HU19" s="31">
        <v>7944.8906020000004</v>
      </c>
      <c r="HV19" s="31">
        <v>8300.3272079999988</v>
      </c>
      <c r="HW19" s="31">
        <v>7861.6295709999995</v>
      </c>
      <c r="HX19" s="31">
        <v>7564.965604</v>
      </c>
      <c r="HY19" s="31">
        <v>7338.3588650000002</v>
      </c>
      <c r="HZ19" s="31">
        <v>7667.7965640000002</v>
      </c>
      <c r="IA19" s="31">
        <v>8113.9253420000005</v>
      </c>
      <c r="IB19" s="31">
        <v>8246.103852000002</v>
      </c>
      <c r="IC19" s="31">
        <v>7897.8619789999993</v>
      </c>
      <c r="ID19" s="31">
        <v>7897.8703079999996</v>
      </c>
      <c r="IE19" s="31">
        <v>8214.1375010000011</v>
      </c>
      <c r="IF19" s="31">
        <v>8627.7710960000004</v>
      </c>
      <c r="IG19" s="31">
        <v>8356.8505400000013</v>
      </c>
      <c r="IH19" s="31">
        <v>7931.1259409999984</v>
      </c>
      <c r="II19" s="31">
        <v>7987.2111580000001</v>
      </c>
      <c r="IJ19" s="31">
        <v>7916.7131080000008</v>
      </c>
      <c r="IK19" s="31">
        <v>8408.8631940000014</v>
      </c>
      <c r="IL19" s="31">
        <v>8321.708122</v>
      </c>
      <c r="IM19" s="31">
        <v>8047.3292590000001</v>
      </c>
      <c r="IN19" s="31">
        <v>8047.3292590000001</v>
      </c>
      <c r="IO19" s="31">
        <v>8830.3283410000004</v>
      </c>
      <c r="IP19" s="31">
        <v>9359.5659999999989</v>
      </c>
      <c r="IQ19" s="31">
        <v>9136.1815300000017</v>
      </c>
      <c r="IR19" s="31">
        <v>9213.7586409999985</v>
      </c>
      <c r="IS19" s="31">
        <v>9226.3236479999996</v>
      </c>
      <c r="IT19" s="31">
        <v>9236.1232579999996</v>
      </c>
      <c r="IU19" s="31">
        <v>8878.8685609999993</v>
      </c>
      <c r="IV19" s="31">
        <v>9125.6548239999993</v>
      </c>
      <c r="IW19" s="31">
        <v>8809.2311050000008</v>
      </c>
      <c r="IX19" s="31">
        <v>8467.5849469999994</v>
      </c>
      <c r="IY19" s="31">
        <v>8467.5849469999994</v>
      </c>
      <c r="IZ19" s="31">
        <v>8310.0007239999995</v>
      </c>
      <c r="JA19" s="31">
        <v>8425.4082080000007</v>
      </c>
      <c r="JB19" s="31">
        <v>8468.2776730000005</v>
      </c>
      <c r="JC19" s="31">
        <v>8472.7843979999998</v>
      </c>
      <c r="JD19" s="31">
        <v>8184.0332160000007</v>
      </c>
      <c r="JE19" s="31">
        <v>7924.5033709999998</v>
      </c>
      <c r="JF19" s="31">
        <v>8425.6419209999985</v>
      </c>
      <c r="JG19" s="31">
        <v>8479.2720179999997</v>
      </c>
      <c r="JH19" s="31">
        <v>7925.1940770000001</v>
      </c>
      <c r="JI19" s="31">
        <v>8584.6099650000015</v>
      </c>
      <c r="JJ19" s="31">
        <v>8851.6352960000004</v>
      </c>
      <c r="JK19" s="31">
        <v>8840.2106280000007</v>
      </c>
      <c r="JL19" s="31">
        <v>9384.3324409999987</v>
      </c>
      <c r="JM19" s="31">
        <v>9460.253005999999</v>
      </c>
      <c r="JN19" s="31">
        <v>9016.414800999999</v>
      </c>
      <c r="JO19" s="31">
        <v>9016.414800999999</v>
      </c>
      <c r="JP19" s="31">
        <v>8756.5204459999986</v>
      </c>
      <c r="JQ19" s="31">
        <v>9397.1487749999997</v>
      </c>
      <c r="JR19" s="31">
        <v>9284.8383510000021</v>
      </c>
      <c r="JS19" s="31">
        <v>9410.9697510000005</v>
      </c>
      <c r="JT19" s="31">
        <v>9010.0862429999997</v>
      </c>
      <c r="JU19" s="31">
        <v>8996.5678230000012</v>
      </c>
      <c r="JV19" s="31">
        <v>8480.8280200000008</v>
      </c>
      <c r="JW19" s="31">
        <v>8778.0154059999986</v>
      </c>
      <c r="JX19" s="31">
        <v>8717.4777579999991</v>
      </c>
      <c r="JY19" s="31">
        <v>8381.2583639999993</v>
      </c>
      <c r="JZ19" s="31">
        <v>8399.4047370000008</v>
      </c>
      <c r="KA19" s="31">
        <v>8420.8520840000001</v>
      </c>
      <c r="KB19" s="31">
        <v>8530.8901340000011</v>
      </c>
      <c r="KC19" s="31">
        <v>7715.5731340000002</v>
      </c>
      <c r="KD19" s="31">
        <v>7739.1962319999993</v>
      </c>
      <c r="KE19" s="31">
        <v>7776.0487329999996</v>
      </c>
      <c r="KF19" s="31">
        <v>8356.1146509999999</v>
      </c>
      <c r="KG19" s="31">
        <v>8466.6404190000012</v>
      </c>
      <c r="KH19" s="31">
        <v>7982.0302230000007</v>
      </c>
      <c r="KI19" s="31">
        <v>7532.3977593499994</v>
      </c>
      <c r="KJ19" s="31">
        <v>7469.2121713300003</v>
      </c>
      <c r="KK19" s="31">
        <v>7482.7831250099998</v>
      </c>
      <c r="KL19" s="31">
        <v>8385.0071026099995</v>
      </c>
      <c r="KM19" s="31">
        <v>8775.4798739599992</v>
      </c>
      <c r="KN19" s="31">
        <v>8458.6522106400007</v>
      </c>
      <c r="KO19" s="31">
        <v>8458.6522106400007</v>
      </c>
      <c r="KP19" s="31">
        <v>8353.7703337200001</v>
      </c>
      <c r="KQ19" s="31">
        <v>9042.4157148000013</v>
      </c>
      <c r="KR19" s="31">
        <v>9353.3423951200002</v>
      </c>
      <c r="KS19" s="31">
        <v>8695.2857334100008</v>
      </c>
      <c r="KT19" s="31">
        <v>8360.6432647600013</v>
      </c>
      <c r="KU19" s="31">
        <v>8199.5824590499997</v>
      </c>
      <c r="KV19" s="31">
        <v>8179.4774716500006</v>
      </c>
      <c r="KW19" s="31">
        <v>7797.4439305599999</v>
      </c>
      <c r="KX19" s="31">
        <v>7825.6860573499998</v>
      </c>
      <c r="KY19" s="31">
        <v>7887.4808218700009</v>
      </c>
      <c r="KZ19" s="31">
        <v>7974.6585174899983</v>
      </c>
      <c r="LA19" s="31">
        <v>8272.4505726200005</v>
      </c>
      <c r="LB19" s="31">
        <v>8248.2269688899996</v>
      </c>
      <c r="LC19" s="31">
        <v>8238.2455219499989</v>
      </c>
      <c r="LD19" s="31">
        <v>8189.6942608199997</v>
      </c>
      <c r="LE19" s="31">
        <v>8013.9050775599999</v>
      </c>
      <c r="LF19" s="31">
        <v>8470.8098931900004</v>
      </c>
      <c r="LG19" s="31">
        <v>8478.0684889099994</v>
      </c>
      <c r="LH19" s="31">
        <v>8054.8887683000003</v>
      </c>
      <c r="LI19" s="31">
        <v>8054.8887683000003</v>
      </c>
      <c r="LJ19" s="31">
        <v>7882.0510737099985</v>
      </c>
      <c r="LK19" s="31">
        <v>8246.3519631600011</v>
      </c>
      <c r="LL19" s="31">
        <v>8083.7993221100005</v>
      </c>
      <c r="LM19" s="31">
        <v>7679.2236786999983</v>
      </c>
      <c r="LN19" s="31">
        <v>7530.4729147200005</v>
      </c>
      <c r="LO19" s="31">
        <v>7289.7601784399994</v>
      </c>
      <c r="LP19" s="31">
        <v>7325.643709160001</v>
      </c>
      <c r="LQ19" s="31">
        <v>7682.3036290300015</v>
      </c>
      <c r="LR19" s="31">
        <v>7113.3658587299997</v>
      </c>
      <c r="LS19" s="31">
        <v>6966.5289307699895</v>
      </c>
      <c r="LT19" s="31">
        <v>7051.6183312199992</v>
      </c>
      <c r="LU19" s="31">
        <v>7521.1189605800009</v>
      </c>
      <c r="LV19" s="31">
        <v>7260.6552767300009</v>
      </c>
      <c r="LW19" s="31">
        <v>7102.8719977199999</v>
      </c>
      <c r="LX19" s="31">
        <v>6961.2306345300021</v>
      </c>
      <c r="LY19" s="31">
        <v>6780.6057862500002</v>
      </c>
      <c r="LZ19" s="31">
        <v>7023.1767538699987</v>
      </c>
      <c r="MA19" s="31">
        <v>6911.5232052900001</v>
      </c>
      <c r="MB19" s="31">
        <v>6874.2219317399995</v>
      </c>
      <c r="MC19" s="31">
        <v>6358.5885597799988</v>
      </c>
      <c r="MD19" s="31">
        <v>6904.8692582599779</v>
      </c>
      <c r="ME19" s="31">
        <v>6876.5222621099892</v>
      </c>
      <c r="MF19" s="31">
        <v>7253.8942866399802</v>
      </c>
      <c r="MG19" s="31">
        <v>6769.2948947499899</v>
      </c>
      <c r="MH19" s="31">
        <v>6312.1970598000016</v>
      </c>
      <c r="MI19" s="31">
        <v>6312.1970598000007</v>
      </c>
      <c r="MJ19" s="31">
        <v>5896.7785474899902</v>
      </c>
      <c r="MK19" s="31">
        <v>6379.0829631400002</v>
      </c>
      <c r="ML19" s="31">
        <v>6340.4462967300005</v>
      </c>
      <c r="MM19" s="31">
        <v>6039.4158908499994</v>
      </c>
      <c r="MN19" s="31">
        <v>6007.586921430001</v>
      </c>
      <c r="MO19" s="31">
        <v>6027.7389287600008</v>
      </c>
      <c r="MP19" s="31">
        <v>6391.6647470799999</v>
      </c>
      <c r="MQ19" s="31">
        <v>6354.81172238</v>
      </c>
      <c r="MR19" s="31">
        <v>6034.7249454000003</v>
      </c>
      <c r="MS19" s="31">
        <v>5658.1125457999997</v>
      </c>
      <c r="MT19" s="31">
        <v>5612.2709970999995</v>
      </c>
      <c r="MU19" s="31">
        <v>5072.5068760199993</v>
      </c>
      <c r="MV19" s="31">
        <v>5643.0333719700002</v>
      </c>
      <c r="MW19" s="31">
        <v>4793.2051819500011</v>
      </c>
      <c r="MX19" s="31">
        <v>4454.3565775499992</v>
      </c>
      <c r="MY19" s="31">
        <v>4454.3565775399893</v>
      </c>
      <c r="MZ19" s="31">
        <v>4517.1830633100008</v>
      </c>
      <c r="NA19" s="31">
        <v>4855.2912250000008</v>
      </c>
      <c r="NB19" s="31">
        <v>5194.4876175899999</v>
      </c>
      <c r="NC19" s="31">
        <v>4835.9872397499994</v>
      </c>
      <c r="ND19" s="31">
        <v>4488.7503600699893</v>
      </c>
      <c r="NE19" s="31">
        <v>4901.9287316399996</v>
      </c>
      <c r="NF19" s="31">
        <v>5399.7752255199994</v>
      </c>
      <c r="NG19" s="31">
        <v>5401.0625044699991</v>
      </c>
      <c r="NH19" s="31">
        <v>5086.4023579599998</v>
      </c>
      <c r="NI19" s="31">
        <v>5326.3299715700005</v>
      </c>
      <c r="NJ19" s="31">
        <v>5773.7412666300006</v>
      </c>
      <c r="NK19" s="31">
        <v>5342.1058138299995</v>
      </c>
      <c r="NL19" s="31">
        <v>5299.9049887900001</v>
      </c>
      <c r="NM19" s="31">
        <v>5299.9049887900001</v>
      </c>
      <c r="NN19" s="31">
        <v>5385.2268089899999</v>
      </c>
      <c r="NO19" s="31">
        <v>6188.4397567899996</v>
      </c>
      <c r="NP19" s="31">
        <v>6346.3978911300001</v>
      </c>
      <c r="NQ19" s="31">
        <v>6185.5690856299998</v>
      </c>
      <c r="NR19" s="31">
        <v>5993.6795412399997</v>
      </c>
      <c r="NS19" s="31">
        <v>6644.8933761999997</v>
      </c>
      <c r="NT19" s="31">
        <v>7129.3826661599996</v>
      </c>
      <c r="NU19" s="31">
        <v>7057.5155734</v>
      </c>
      <c r="NV19" s="31">
        <v>6740.0515039399997</v>
      </c>
      <c r="NW19" s="31">
        <v>6853.4335402899997</v>
      </c>
      <c r="NX19" s="31">
        <v>7663.2005057399992</v>
      </c>
      <c r="NY19" s="31">
        <v>7638.1902746699998</v>
      </c>
      <c r="NZ19" s="31">
        <v>7090.0493077900001</v>
      </c>
      <c r="OA19" s="31">
        <v>7090.0493077900001</v>
      </c>
      <c r="OB19" s="31">
        <v>6936.3789922899996</v>
      </c>
      <c r="OC19" s="31">
        <v>7367.7556623</v>
      </c>
      <c r="OD19" s="31">
        <v>7520.2803942999999</v>
      </c>
      <c r="OE19" s="31">
        <v>7324.53761476</v>
      </c>
      <c r="OF19" s="35">
        <v>7232.9894655900007</v>
      </c>
      <c r="OG19" s="35">
        <v>7194.8399906800005</v>
      </c>
      <c r="OH19" s="35">
        <v>7171.2173091100003</v>
      </c>
      <c r="OI19" s="35">
        <v>7845.9630357399992</v>
      </c>
      <c r="OJ19" s="35">
        <v>7805.9626183999999</v>
      </c>
      <c r="OK19" s="35">
        <v>8410.0654732699986</v>
      </c>
      <c r="OL19" s="35">
        <v>8318.66748878</v>
      </c>
      <c r="OM19" s="35">
        <v>8686.5042531299987</v>
      </c>
      <c r="ON19" s="35">
        <v>8361.1814955599984</v>
      </c>
      <c r="OO19" s="35">
        <v>8135.1768220299982</v>
      </c>
      <c r="OP19" s="35">
        <v>8577.5479177099987</v>
      </c>
      <c r="OQ19" s="35">
        <v>8414.3380483600013</v>
      </c>
      <c r="OR19" s="35">
        <v>8639.8283704399983</v>
      </c>
      <c r="OS19" s="35">
        <v>8897.3376880200012</v>
      </c>
      <c r="OT19" s="35">
        <v>8826.1586397799983</v>
      </c>
      <c r="OU19" s="35">
        <v>8645.346739139999</v>
      </c>
      <c r="OV19" s="35">
        <v>8628.8489597400021</v>
      </c>
      <c r="OW19" s="35">
        <v>8625.4090006099996</v>
      </c>
      <c r="OX19" s="35">
        <v>8514.3266637099987</v>
      </c>
      <c r="OY19" s="35">
        <v>7655.1158450000012</v>
      </c>
      <c r="OZ19" s="35">
        <v>7306.6315048299994</v>
      </c>
      <c r="PA19" s="35">
        <v>7749.1009501500012</v>
      </c>
      <c r="PB19" s="35">
        <v>7338.94051201</v>
      </c>
      <c r="PC19" s="35">
        <v>6990.9931881399998</v>
      </c>
      <c r="PD19" s="35">
        <v>6899.502195009999</v>
      </c>
      <c r="PE19" s="35">
        <v>7435.7684188699996</v>
      </c>
      <c r="PF19" s="35">
        <v>8049.8785611199892</v>
      </c>
      <c r="PG19" s="35">
        <v>7970.5843914500001</v>
      </c>
      <c r="PH19" s="35">
        <v>7423.1930680699998</v>
      </c>
      <c r="PI19" s="35">
        <v>7479.8700584199896</v>
      </c>
      <c r="PJ19" s="35">
        <v>7911.3659944399997</v>
      </c>
      <c r="PK19" s="35">
        <v>7928.5951620999804</v>
      </c>
      <c r="PL19" s="35">
        <v>7713.0745352799795</v>
      </c>
      <c r="PM19" s="35">
        <v>7433.6519789599897</v>
      </c>
      <c r="PN19" s="35">
        <v>8425.40910522999</v>
      </c>
      <c r="PO19" s="35">
        <v>8254.0176553199999</v>
      </c>
      <c r="PP19" s="35">
        <v>7897.1736612199984</v>
      </c>
      <c r="PQ19" s="35">
        <v>7729.0342405299998</v>
      </c>
      <c r="PR19" s="35">
        <v>7611.7564557699998</v>
      </c>
      <c r="PS19" s="35">
        <v>8108.08763619</v>
      </c>
      <c r="PT19" s="35">
        <v>8427.1853945599996</v>
      </c>
      <c r="PU19" s="35">
        <v>8131.3532900299997</v>
      </c>
      <c r="PV19" s="35">
        <v>7772.9836025300001</v>
      </c>
      <c r="PW19" s="35">
        <v>7682.2937197900001</v>
      </c>
      <c r="PX19" s="35">
        <v>7777.0708286199997</v>
      </c>
      <c r="PY19" s="35">
        <v>8326.6592182099994</v>
      </c>
      <c r="PZ19" s="35">
        <v>8195.3293278199999</v>
      </c>
      <c r="QA19" s="35">
        <v>8276.5051031999992</v>
      </c>
      <c r="QB19" s="35">
        <v>8276.5051031999992</v>
      </c>
      <c r="QC19" s="35">
        <v>8368.4759456700012</v>
      </c>
      <c r="QD19" s="35">
        <v>8816.7354599899991</v>
      </c>
      <c r="QE19" s="35">
        <v>8925.0033421200005</v>
      </c>
      <c r="QF19" s="35">
        <v>8582.3023075000001</v>
      </c>
      <c r="QG19" s="35">
        <v>8409.092840379999</v>
      </c>
      <c r="QH19" s="35">
        <v>8688.0099195399998</v>
      </c>
      <c r="QI19" s="35">
        <v>9313.5540722699989</v>
      </c>
      <c r="QJ19" s="35">
        <v>9483.2568917600001</v>
      </c>
      <c r="QK19" s="35">
        <v>9400.7211451399999</v>
      </c>
      <c r="QL19" s="35">
        <v>8559.3759279599999</v>
      </c>
      <c r="QM19" s="35">
        <v>8505.4762285499983</v>
      </c>
      <c r="QN19" s="35">
        <v>8641.1013986899998</v>
      </c>
      <c r="QO19" s="35">
        <v>8888.2489739299999</v>
      </c>
      <c r="QP19" s="35">
        <v>8451.6189044600014</v>
      </c>
      <c r="QQ19" s="24">
        <v>8168.6116389300005</v>
      </c>
      <c r="QR19" s="24">
        <v>8168.6116389300005</v>
      </c>
      <c r="QS19" s="24">
        <v>8263.0515065800009</v>
      </c>
      <c r="QT19" s="24">
        <v>9161.5206556199992</v>
      </c>
      <c r="QU19" s="24">
        <v>9121.1117489499993</v>
      </c>
      <c r="QV19" s="24">
        <v>8601.6748022300017</v>
      </c>
      <c r="QW19" s="24">
        <v>8322.3921232699995</v>
      </c>
      <c r="QX19" s="24">
        <v>8269.3516390000004</v>
      </c>
      <c r="QY19" s="24">
        <v>8566.0407697699993</v>
      </c>
      <c r="QZ19" s="24">
        <v>9445.3658460700008</v>
      </c>
      <c r="RA19" s="24">
        <v>9288.5010179799992</v>
      </c>
      <c r="RB19" s="24">
        <v>9324.7607271900015</v>
      </c>
      <c r="RC19" s="24">
        <v>9331.5611750900007</v>
      </c>
      <c r="RD19" s="24">
        <v>9406.1757936500017</v>
      </c>
      <c r="RE19" s="24">
        <v>9066.1031112900018</v>
      </c>
      <c r="RF19" s="24">
        <v>9684.8687032099988</v>
      </c>
      <c r="RG19" s="24">
        <v>9684.8687032099988</v>
      </c>
      <c r="RH19" s="24">
        <v>9516.0138910399983</v>
      </c>
      <c r="RI19" s="24">
        <v>10245.963844989999</v>
      </c>
      <c r="RJ19" s="24">
        <v>9816.1140284699995</v>
      </c>
      <c r="RK19" s="24">
        <v>10242.29482166</v>
      </c>
      <c r="RL19" s="24">
        <v>9795.1398849699999</v>
      </c>
      <c r="RM19" s="24">
        <v>10446.262012490002</v>
      </c>
      <c r="RN19" s="24">
        <v>11421.58417222</v>
      </c>
      <c r="RO19" s="24">
        <v>11508.171614969991</v>
      </c>
      <c r="RP19" s="24"/>
      <c r="RQ19" s="24"/>
      <c r="RR19" s="24"/>
      <c r="RS19" s="24"/>
      <c r="RT19" s="24"/>
      <c r="RU19" s="24"/>
      <c r="RV19" s="24"/>
      <c r="RW19" s="24"/>
      <c r="RX19" s="24"/>
      <c r="RY19" s="24"/>
      <c r="RZ19" s="24"/>
      <c r="SA19" s="24"/>
      <c r="SB19" s="24"/>
      <c r="SC19" s="24"/>
      <c r="SD19" s="24"/>
    </row>
    <row r="20" spans="1:498" hidden="1" x14ac:dyDescent="0.35">
      <c r="B20" s="20"/>
      <c r="DE20" s="24"/>
      <c r="DO20" s="30"/>
      <c r="GV20" s="30">
        <v>120.8548179999998</v>
      </c>
      <c r="JV20" s="19">
        <v>44814</v>
      </c>
      <c r="RO20" s="24"/>
      <c r="RP20" s="24"/>
      <c r="RQ20" s="24"/>
      <c r="RR20" s="24"/>
    </row>
    <row r="21" spans="1:498" x14ac:dyDescent="0.35">
      <c r="B21" s="20"/>
      <c r="DE21" s="24"/>
      <c r="DO21" s="30"/>
      <c r="GV21" s="30"/>
      <c r="RO21" s="24"/>
      <c r="RP21" s="24"/>
      <c r="RQ21" s="24"/>
      <c r="RR21" s="24"/>
    </row>
    <row r="22" spans="1:498" x14ac:dyDescent="0.35">
      <c r="B22" s="20"/>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DE22" s="24"/>
    </row>
    <row r="23" spans="1:498" x14ac:dyDescent="0.35">
      <c r="DE23" s="24"/>
      <c r="MY23" s="32"/>
      <c r="MZ23" s="32"/>
      <c r="NA23" s="32"/>
      <c r="NB23" s="32"/>
      <c r="NC23" s="32"/>
      <c r="ND23" s="32"/>
      <c r="NE23" s="32"/>
      <c r="NF23" s="32"/>
      <c r="NG23" s="32"/>
      <c r="NH23" s="32"/>
      <c r="NI23" s="32"/>
      <c r="NJ23" s="32"/>
      <c r="NK23" s="32"/>
      <c r="NL23" s="32"/>
      <c r="NM23" s="32"/>
      <c r="NN23" s="32"/>
      <c r="NO23" s="32"/>
      <c r="NP23" s="32"/>
      <c r="NQ23" s="32"/>
      <c r="NR23" s="32"/>
      <c r="NS23" s="32"/>
      <c r="NT23" s="32"/>
      <c r="NU23" s="32"/>
      <c r="NV23" s="32"/>
      <c r="NW23" s="32"/>
      <c r="NX23" s="32"/>
      <c r="NY23" s="32"/>
      <c r="NZ23" s="32"/>
      <c r="OA23" s="32"/>
      <c r="OB23" s="32"/>
      <c r="OC23" s="32"/>
      <c r="OD23" s="32"/>
      <c r="OE23" s="32"/>
      <c r="OF23" s="32"/>
      <c r="OG23" s="32"/>
      <c r="OH23" s="32"/>
    </row>
    <row r="24" spans="1:498" x14ac:dyDescent="0.35">
      <c r="B24" s="23"/>
      <c r="J24" s="24"/>
      <c r="K24" s="24"/>
      <c r="L24" s="24"/>
      <c r="M24" s="24"/>
      <c r="N24" s="24"/>
      <c r="O24" s="24"/>
      <c r="P24" s="24"/>
      <c r="Q24" s="24"/>
      <c r="DE24" s="24"/>
    </row>
    <row r="25" spans="1:498" x14ac:dyDescent="0.35">
      <c r="B25" s="23"/>
      <c r="BT25" s="22"/>
      <c r="BU25" s="22"/>
      <c r="BV25" s="22"/>
      <c r="BW25" s="22"/>
      <c r="BX25" s="22"/>
      <c r="BY25" s="22"/>
      <c r="BZ25" s="22"/>
      <c r="CA25" s="22"/>
      <c r="CB25" s="22"/>
      <c r="CC25" s="22"/>
      <c r="DE25" s="24"/>
    </row>
    <row r="26" spans="1:498" x14ac:dyDescent="0.35">
      <c r="B26" s="23"/>
      <c r="DE26" s="24"/>
    </row>
    <row r="27" spans="1:498" x14ac:dyDescent="0.35">
      <c r="B27" s="23"/>
      <c r="DE27" s="24"/>
    </row>
    <row r="28" spans="1:498" x14ac:dyDescent="0.35">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DE28" s="24"/>
    </row>
    <row r="29" spans="1:498" x14ac:dyDescent="0.35">
      <c r="AM29" s="24"/>
      <c r="AN29" s="24"/>
      <c r="AO29" s="24"/>
      <c r="AP29" s="24"/>
      <c r="AQ29" s="24"/>
      <c r="AR29" s="24"/>
      <c r="AS29" s="24"/>
      <c r="AT29" s="24"/>
      <c r="AU29" s="24"/>
      <c r="AV29" s="24"/>
      <c r="AW29" s="24"/>
      <c r="AX29" s="24"/>
      <c r="AY29" s="24"/>
      <c r="AZ29" s="24"/>
      <c r="BA29" s="24"/>
      <c r="DE29" s="24"/>
    </row>
    <row r="30" spans="1:498" x14ac:dyDescent="0.35">
      <c r="AM30" s="24"/>
      <c r="AN30" s="24"/>
      <c r="AO30" s="24"/>
      <c r="AP30" s="24"/>
      <c r="AQ30" s="24"/>
      <c r="AR30" s="24"/>
      <c r="AS30" s="24"/>
      <c r="AT30" s="24"/>
      <c r="AU30" s="24"/>
      <c r="AV30" s="24"/>
      <c r="AW30" s="24"/>
      <c r="AX30" s="24"/>
      <c r="AY30" s="24"/>
      <c r="AZ30" s="24"/>
      <c r="BA30" s="24"/>
      <c r="BW30" s="25"/>
      <c r="BX30" s="25"/>
      <c r="BY30" s="25"/>
      <c r="BZ30" s="25"/>
      <c r="CA30" s="25"/>
      <c r="CB30" s="25"/>
      <c r="CC30" s="25"/>
      <c r="DE30" s="22"/>
    </row>
    <row r="31" spans="1:498" x14ac:dyDescent="0.35">
      <c r="V31" s="19"/>
      <c r="AP31" s="24"/>
      <c r="AQ31" s="24"/>
      <c r="AR31" s="24"/>
      <c r="AS31" s="24"/>
      <c r="AT31" s="24"/>
      <c r="AU31" s="24"/>
      <c r="AV31" s="24"/>
      <c r="AW31" s="24"/>
      <c r="AX31" s="24"/>
      <c r="AY31" s="24"/>
      <c r="AZ31" s="24"/>
      <c r="BA31" s="24"/>
      <c r="BW31" s="24"/>
      <c r="BX31" s="24"/>
      <c r="BY31" s="24"/>
      <c r="BZ31" s="24"/>
      <c r="CA31" s="24"/>
      <c r="CB31" s="24"/>
      <c r="CC31" s="24"/>
    </row>
    <row r="33" spans="22:81" x14ac:dyDescent="0.35">
      <c r="V33" s="21"/>
      <c r="BE33" s="24"/>
    </row>
    <row r="34" spans="22:81" x14ac:dyDescent="0.35">
      <c r="V34" s="21"/>
    </row>
    <row r="35" spans="22:81" x14ac:dyDescent="0.35">
      <c r="V35" s="21"/>
      <c r="BW35" s="26"/>
      <c r="BX35" s="26"/>
      <c r="BY35" s="26"/>
      <c r="BZ35" s="26"/>
      <c r="CA35" s="26"/>
      <c r="CB35" s="26"/>
      <c r="CC35" s="26"/>
    </row>
    <row r="36" spans="22:81" x14ac:dyDescent="0.35">
      <c r="V36" s="22"/>
    </row>
    <row r="37" spans="22:81" x14ac:dyDescent="0.35">
      <c r="V37" s="22"/>
    </row>
    <row r="38" spans="22:81" x14ac:dyDescent="0.35">
      <c r="V38" s="22"/>
      <c r="BW38" s="24"/>
      <c r="BX38" s="24"/>
      <c r="BY38" s="24"/>
      <c r="BZ38" s="24"/>
      <c r="CA38" s="24"/>
      <c r="CB38" s="24"/>
      <c r="CC38" s="24"/>
    </row>
    <row r="39" spans="22:81" x14ac:dyDescent="0.35">
      <c r="V39" s="22"/>
      <c r="BW39" s="24"/>
      <c r="BX39" s="24"/>
      <c r="BY39" s="24"/>
      <c r="BZ39" s="24"/>
      <c r="CA39" s="24"/>
      <c r="CB39" s="24"/>
      <c r="CC39" s="24"/>
    </row>
    <row r="40" spans="22:81" x14ac:dyDescent="0.35">
      <c r="V40" s="22"/>
    </row>
    <row r="41" spans="22:81" x14ac:dyDescent="0.35">
      <c r="V41" s="22"/>
    </row>
    <row r="42" spans="22:81" x14ac:dyDescent="0.35">
      <c r="V42" s="22"/>
    </row>
    <row r="53" spans="363:398" x14ac:dyDescent="0.35">
      <c r="MY53" s="33"/>
      <c r="MZ53" s="33"/>
      <c r="NA53" s="33"/>
      <c r="NB53" s="33"/>
      <c r="NC53" s="33"/>
      <c r="ND53" s="33"/>
      <c r="NE53" s="33"/>
      <c r="NF53" s="33"/>
      <c r="NG53" s="33"/>
      <c r="NH53" s="33"/>
      <c r="NI53" s="33"/>
      <c r="NJ53" s="33"/>
      <c r="NK53" s="33"/>
      <c r="NL53" s="33"/>
      <c r="NM53" s="33"/>
      <c r="NN53" s="33"/>
      <c r="NO53" s="33"/>
      <c r="NP53" s="33"/>
      <c r="NQ53" s="33"/>
      <c r="NR53" s="33"/>
      <c r="NS53" s="33"/>
      <c r="NT53" s="33"/>
      <c r="NU53" s="33"/>
      <c r="NV53" s="33"/>
      <c r="NW53" s="33"/>
      <c r="NX53" s="33"/>
      <c r="NY53" s="33"/>
      <c r="NZ53" s="33"/>
      <c r="OA53" s="33"/>
      <c r="OB53" s="33"/>
      <c r="OC53" s="33"/>
      <c r="OD53" s="33"/>
      <c r="OE53" s="33"/>
      <c r="OF53" s="33"/>
      <c r="OG53" s="33"/>
      <c r="OH53" s="33"/>
    </row>
    <row r="54" spans="363:398" x14ac:dyDescent="0.35">
      <c r="MY54" s="33"/>
      <c r="MZ54" s="33"/>
      <c r="NA54" s="34"/>
      <c r="NB54" s="33"/>
      <c r="NC54" s="34"/>
      <c r="ND54" s="34"/>
      <c r="NE54" s="34"/>
      <c r="NF54" s="34"/>
      <c r="NG54" s="34"/>
      <c r="NH54" s="34"/>
      <c r="NI54" s="34"/>
      <c r="NJ54" s="34"/>
      <c r="NK54" s="34"/>
      <c r="NL54" s="34"/>
      <c r="NM54" s="34"/>
      <c r="NN54" s="34"/>
      <c r="NO54" s="34"/>
      <c r="NP54" s="34"/>
      <c r="NQ54" s="34"/>
      <c r="NR54" s="34"/>
      <c r="NS54" s="34"/>
      <c r="NT54" s="34"/>
      <c r="NU54" s="34"/>
      <c r="NV54" s="34"/>
      <c r="NW54" s="34"/>
      <c r="NX54" s="34"/>
      <c r="NY54" s="34"/>
      <c r="NZ54" s="34"/>
      <c r="OA54" s="34"/>
      <c r="OB54" s="34"/>
      <c r="OC54" s="34"/>
      <c r="OD54" s="34"/>
      <c r="OE54" s="34"/>
      <c r="OF54" s="34"/>
      <c r="OG54" s="34"/>
      <c r="OH54" s="34"/>
    </row>
    <row r="55" spans="363:398" x14ac:dyDescent="0.35">
      <c r="MY55" s="33"/>
      <c r="MZ55" s="33"/>
      <c r="NA55" s="33"/>
      <c r="NB55" s="33"/>
      <c r="NC55" s="34"/>
      <c r="ND55" s="34"/>
      <c r="NE55" s="34"/>
      <c r="NF55" s="34"/>
      <c r="NG55" s="34"/>
      <c r="NH55" s="34"/>
      <c r="NI55" s="34"/>
      <c r="NJ55" s="34"/>
      <c r="NK55" s="34"/>
      <c r="NL55" s="34"/>
      <c r="NM55" s="34"/>
      <c r="NN55" s="34"/>
      <c r="NO55" s="34"/>
      <c r="NP55" s="34"/>
      <c r="NQ55" s="34"/>
      <c r="NR55" s="34"/>
      <c r="NS55" s="34"/>
      <c r="NT55" s="34"/>
      <c r="NU55" s="34"/>
      <c r="NV55" s="34"/>
      <c r="NW55" s="34"/>
      <c r="NX55" s="34"/>
      <c r="NY55" s="34"/>
      <c r="NZ55" s="34"/>
      <c r="OA55" s="34"/>
      <c r="OB55" s="34"/>
      <c r="OC55" s="34"/>
      <c r="OD55" s="34"/>
      <c r="OE55" s="34"/>
      <c r="OF55" s="34"/>
      <c r="OG55" s="34"/>
      <c r="OH55" s="34"/>
    </row>
    <row r="56" spans="363:398" x14ac:dyDescent="0.35">
      <c r="MY56" s="33"/>
      <c r="MZ56" s="33"/>
      <c r="NA56" s="33"/>
      <c r="NB56" s="33"/>
      <c r="NC56" s="34"/>
      <c r="ND56" s="34"/>
      <c r="NE56" s="34"/>
      <c r="NF56" s="34"/>
      <c r="NG56" s="34"/>
      <c r="NH56" s="34"/>
      <c r="NI56" s="34"/>
      <c r="NJ56" s="34"/>
      <c r="NK56" s="34"/>
      <c r="NL56" s="34"/>
      <c r="NM56" s="34"/>
      <c r="NN56" s="34"/>
      <c r="NO56" s="34"/>
      <c r="NP56" s="34"/>
      <c r="NQ56" s="34"/>
      <c r="NR56" s="34"/>
      <c r="NS56" s="34"/>
      <c r="NT56" s="34"/>
      <c r="NU56" s="34"/>
      <c r="NV56" s="34"/>
      <c r="NW56" s="34"/>
      <c r="NX56" s="34"/>
      <c r="NY56" s="34"/>
      <c r="NZ56" s="34"/>
      <c r="OA56" s="34"/>
      <c r="OB56" s="34"/>
      <c r="OC56" s="34"/>
      <c r="OD56" s="34"/>
      <c r="OE56" s="34"/>
      <c r="OF56" s="34"/>
      <c r="OG56" s="34"/>
      <c r="OH56" s="34"/>
    </row>
    <row r="57" spans="363:398" x14ac:dyDescent="0.35">
      <c r="MY57" s="33"/>
      <c r="MZ57" s="33"/>
      <c r="NA57" s="33"/>
      <c r="NB57" s="33"/>
      <c r="NC57" s="33"/>
      <c r="ND57" s="33"/>
      <c r="NE57" s="33"/>
      <c r="NF57" s="33"/>
      <c r="NG57" s="33"/>
      <c r="NH57" s="33"/>
      <c r="NI57" s="33"/>
      <c r="NJ57" s="33"/>
      <c r="NK57" s="33"/>
      <c r="NL57" s="33"/>
      <c r="NM57" s="33"/>
      <c r="NN57" s="33"/>
      <c r="NO57" s="33"/>
      <c r="NP57" s="33"/>
      <c r="NQ57" s="33"/>
      <c r="NR57" s="33"/>
      <c r="NS57" s="33"/>
      <c r="NT57" s="33"/>
      <c r="NU57" s="33"/>
      <c r="NV57" s="33"/>
      <c r="NW57" s="33"/>
      <c r="NX57" s="33"/>
      <c r="NY57" s="33"/>
      <c r="NZ57" s="33"/>
      <c r="OA57" s="33"/>
      <c r="OB57" s="33"/>
      <c r="OC57" s="33"/>
      <c r="OD57" s="33"/>
      <c r="OE57" s="33"/>
      <c r="OF57" s="33"/>
      <c r="OG57" s="33"/>
      <c r="OH57" s="33"/>
    </row>
    <row r="58" spans="363:398" x14ac:dyDescent="0.35">
      <c r="MY58" s="33"/>
      <c r="MZ58" s="33"/>
      <c r="NA58" s="33"/>
      <c r="NB58" s="33"/>
      <c r="NC58" s="33"/>
      <c r="ND58" s="33"/>
      <c r="NE58" s="33"/>
      <c r="NF58" s="33"/>
      <c r="NG58" s="33"/>
      <c r="NH58" s="33"/>
      <c r="NI58" s="33"/>
      <c r="NJ58" s="33"/>
      <c r="NK58" s="33"/>
      <c r="NL58" s="33"/>
      <c r="NM58" s="33"/>
      <c r="NN58" s="33"/>
      <c r="NO58" s="33"/>
      <c r="NP58" s="33"/>
      <c r="NQ58" s="33"/>
      <c r="NR58" s="33"/>
      <c r="NS58" s="33"/>
      <c r="NT58" s="33"/>
      <c r="NU58" s="33"/>
      <c r="NV58" s="33"/>
      <c r="NW58" s="33"/>
      <c r="NX58" s="33"/>
      <c r="NY58" s="33"/>
      <c r="NZ58" s="33"/>
      <c r="OA58" s="33"/>
      <c r="OB58" s="33"/>
      <c r="OC58" s="33"/>
      <c r="OD58" s="33"/>
      <c r="OE58" s="33"/>
      <c r="OF58" s="33"/>
      <c r="OG58" s="33"/>
      <c r="OH58" s="33"/>
    </row>
    <row r="59" spans="363:398" x14ac:dyDescent="0.35">
      <c r="MY59" s="33"/>
      <c r="MZ59" s="33"/>
      <c r="NA59" s="33"/>
      <c r="NB59" s="33"/>
      <c r="NC59" s="33"/>
      <c r="ND59" s="33"/>
      <c r="NE59" s="33"/>
      <c r="NF59" s="33"/>
      <c r="NG59" s="33"/>
      <c r="NH59" s="33"/>
      <c r="NI59" s="33"/>
      <c r="NJ59" s="33"/>
      <c r="NK59" s="33"/>
      <c r="NL59" s="33"/>
      <c r="NM59" s="33"/>
      <c r="NN59" s="33"/>
      <c r="NO59" s="33"/>
      <c r="NP59" s="33"/>
      <c r="NQ59" s="33"/>
      <c r="NR59" s="33"/>
      <c r="NS59" s="33"/>
      <c r="NT59" s="33"/>
      <c r="NU59" s="33"/>
      <c r="NV59" s="33"/>
      <c r="NW59" s="33"/>
      <c r="NX59" s="33"/>
      <c r="NY59" s="33"/>
      <c r="NZ59" s="33"/>
      <c r="OA59" s="33"/>
      <c r="OB59" s="33"/>
      <c r="OC59" s="33"/>
      <c r="OD59" s="33"/>
      <c r="OE59" s="33"/>
      <c r="OF59" s="33"/>
      <c r="OG59" s="33"/>
      <c r="OH59" s="33"/>
    </row>
    <row r="60" spans="363:398" x14ac:dyDescent="0.35">
      <c r="MY60" s="33"/>
      <c r="MZ60" s="33"/>
      <c r="NA60" s="33"/>
      <c r="NB60" s="33"/>
      <c r="NC60" s="33"/>
      <c r="ND60" s="33"/>
      <c r="NE60" s="33"/>
      <c r="NF60" s="33"/>
      <c r="NG60" s="33"/>
      <c r="NH60" s="33"/>
      <c r="NI60" s="33"/>
      <c r="NJ60" s="33"/>
      <c r="NK60" s="33"/>
      <c r="NL60" s="33"/>
      <c r="NM60" s="33"/>
      <c r="NN60" s="33"/>
      <c r="NO60" s="33"/>
      <c r="NP60" s="33"/>
      <c r="NQ60" s="33"/>
      <c r="NR60" s="33"/>
      <c r="NS60" s="33"/>
      <c r="NT60" s="33"/>
      <c r="NU60" s="33"/>
      <c r="NV60" s="33"/>
      <c r="NW60" s="33"/>
      <c r="NX60" s="33"/>
      <c r="NY60" s="33"/>
      <c r="NZ60" s="33"/>
      <c r="OA60" s="33"/>
      <c r="OB60" s="33"/>
      <c r="OC60" s="33"/>
      <c r="OD60" s="33"/>
      <c r="OE60" s="33"/>
      <c r="OF60" s="33"/>
      <c r="OG60" s="33"/>
      <c r="OH60" s="33"/>
    </row>
    <row r="61" spans="363:398" x14ac:dyDescent="0.35">
      <c r="MY61" s="33"/>
      <c r="MZ61" s="33"/>
      <c r="NA61" s="33"/>
      <c r="NB61" s="34"/>
      <c r="NC61" s="34"/>
      <c r="ND61" s="34"/>
      <c r="NE61" s="34"/>
      <c r="NF61" s="34"/>
      <c r="NG61" s="34"/>
      <c r="NH61" s="34"/>
      <c r="NI61" s="34"/>
      <c r="NJ61" s="34"/>
      <c r="NK61" s="34"/>
      <c r="NL61" s="34"/>
      <c r="NM61" s="34"/>
      <c r="NN61" s="34"/>
      <c r="NO61" s="34"/>
      <c r="NP61" s="34"/>
      <c r="NQ61" s="34"/>
      <c r="NR61" s="34"/>
      <c r="NS61" s="34"/>
      <c r="NT61" s="34"/>
      <c r="NU61" s="34"/>
      <c r="NV61" s="34"/>
      <c r="NW61" s="34"/>
      <c r="NX61" s="34"/>
      <c r="NY61" s="34"/>
      <c r="NZ61" s="34"/>
      <c r="OA61" s="34"/>
      <c r="OB61" s="34"/>
      <c r="OC61" s="34"/>
      <c r="OD61" s="34"/>
      <c r="OE61" s="34"/>
      <c r="OF61" s="34"/>
      <c r="OG61" s="34"/>
      <c r="OH61" s="34"/>
    </row>
    <row r="62" spans="363:398" x14ac:dyDescent="0.35">
      <c r="MY62" s="33"/>
      <c r="MZ62" s="33"/>
      <c r="NA62" s="33"/>
      <c r="NB62" s="33"/>
      <c r="NC62" s="33"/>
      <c r="ND62" s="33"/>
      <c r="NE62" s="33"/>
      <c r="NF62" s="33"/>
      <c r="NG62" s="33"/>
      <c r="NH62" s="33"/>
      <c r="NI62" s="33"/>
      <c r="NJ62" s="33"/>
      <c r="NK62" s="33"/>
      <c r="NL62" s="33"/>
      <c r="NM62" s="33"/>
      <c r="NN62" s="33"/>
      <c r="NO62" s="33"/>
      <c r="NP62" s="33"/>
      <c r="NQ62" s="33"/>
      <c r="NR62" s="33"/>
      <c r="NS62" s="33"/>
      <c r="NT62" s="33"/>
      <c r="NU62" s="33"/>
      <c r="NV62" s="33"/>
      <c r="NW62" s="33"/>
      <c r="NX62" s="33"/>
      <c r="NY62" s="33"/>
      <c r="NZ62" s="33"/>
      <c r="OA62" s="33"/>
      <c r="OB62" s="33"/>
      <c r="OC62" s="33"/>
      <c r="OD62" s="33"/>
      <c r="OE62" s="33"/>
      <c r="OF62" s="33"/>
      <c r="OG62" s="33"/>
      <c r="OH62" s="33"/>
    </row>
    <row r="63" spans="363:398" x14ac:dyDescent="0.35">
      <c r="MY63" s="33"/>
      <c r="MZ63" s="33"/>
      <c r="NA63" s="33"/>
      <c r="NB63" s="33"/>
      <c r="NC63" s="33"/>
      <c r="ND63" s="33"/>
      <c r="NE63" s="33"/>
      <c r="NF63" s="33"/>
      <c r="NG63" s="33"/>
      <c r="NH63" s="33"/>
      <c r="NI63" s="33"/>
      <c r="NJ63" s="33"/>
      <c r="NK63" s="33"/>
      <c r="NL63" s="33"/>
      <c r="NM63" s="33"/>
      <c r="NN63" s="33"/>
      <c r="NO63" s="33"/>
      <c r="NP63" s="33"/>
      <c r="NQ63" s="33"/>
      <c r="NR63" s="33"/>
      <c r="NS63" s="33"/>
      <c r="NT63" s="33"/>
      <c r="NU63" s="33"/>
      <c r="NV63" s="33"/>
      <c r="NW63" s="33"/>
      <c r="NX63" s="33"/>
      <c r="NY63" s="33"/>
      <c r="NZ63" s="33"/>
      <c r="OA63" s="33"/>
      <c r="OB63" s="33"/>
      <c r="OC63" s="33"/>
      <c r="OD63" s="33"/>
      <c r="OE63" s="33"/>
      <c r="OF63" s="33"/>
      <c r="OG63" s="33"/>
      <c r="OH63" s="33"/>
    </row>
    <row r="64" spans="363:398" x14ac:dyDescent="0.35">
      <c r="MY64" s="33"/>
      <c r="MZ64" s="33"/>
      <c r="NA64" s="33"/>
      <c r="NB64" s="33"/>
      <c r="NC64" s="33"/>
      <c r="ND64" s="33"/>
      <c r="NE64" s="33"/>
      <c r="NF64" s="33"/>
      <c r="NG64" s="33"/>
      <c r="NH64" s="33"/>
      <c r="NI64" s="33"/>
      <c r="NJ64" s="33"/>
      <c r="NK64" s="33"/>
      <c r="NL64" s="33"/>
      <c r="NM64" s="33"/>
      <c r="NN64" s="33"/>
      <c r="NO64" s="33"/>
      <c r="NP64" s="33"/>
      <c r="NQ64" s="33"/>
      <c r="NR64" s="33"/>
      <c r="NS64" s="33"/>
      <c r="NT64" s="33"/>
      <c r="NU64" s="33"/>
      <c r="NV64" s="33"/>
      <c r="NW64" s="33"/>
      <c r="NX64" s="33"/>
      <c r="NY64" s="33"/>
      <c r="NZ64" s="33"/>
      <c r="OA64" s="33"/>
      <c r="OB64" s="33"/>
      <c r="OC64" s="33"/>
      <c r="OD64" s="33"/>
      <c r="OE64" s="33"/>
      <c r="OF64" s="33"/>
      <c r="OG64" s="33"/>
      <c r="OH64" s="33"/>
    </row>
    <row r="65" spans="363:398" x14ac:dyDescent="0.35">
      <c r="MY65" s="33"/>
      <c r="MZ65" s="33"/>
      <c r="NA65" s="33"/>
      <c r="NB65" s="33"/>
      <c r="NC65" s="33"/>
      <c r="ND65" s="33"/>
      <c r="NE65" s="33"/>
      <c r="NF65" s="33"/>
      <c r="NG65" s="33"/>
      <c r="NH65" s="33"/>
      <c r="NI65" s="33"/>
      <c r="NJ65" s="33"/>
      <c r="NK65" s="33"/>
      <c r="NL65" s="33"/>
      <c r="NM65" s="33"/>
      <c r="NN65" s="33"/>
      <c r="NO65" s="33"/>
      <c r="NP65" s="33"/>
      <c r="NQ65" s="33"/>
      <c r="NR65" s="33"/>
      <c r="NS65" s="33"/>
      <c r="NT65" s="33"/>
      <c r="NU65" s="33"/>
      <c r="NV65" s="33"/>
      <c r="NW65" s="33"/>
      <c r="NX65" s="33"/>
      <c r="NY65" s="33"/>
      <c r="NZ65" s="33"/>
      <c r="OA65" s="33"/>
      <c r="OB65" s="33"/>
      <c r="OC65" s="33"/>
      <c r="OD65" s="33"/>
      <c r="OE65" s="33"/>
      <c r="OF65" s="33"/>
      <c r="OG65" s="33"/>
      <c r="OH65" s="3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20" workbookViewId="0">
      <selection activeCell="B39" sqref="B39"/>
    </sheetView>
  </sheetViews>
  <sheetFormatPr baseColWidth="10"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6a384a8-8c25-49cd-90fc-39beb0baa44c" xsi:nil="true"/>
    <lcf76f155ced4ddcb4097134ff3c332f xmlns="0f6f1245-adcc-4492-ab9a-d69ea6f9f19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946EE17AB057C4FA5ECBF5C4A9460A6" ma:contentTypeVersion="12" ma:contentTypeDescription="Crear nuevo documento." ma:contentTypeScope="" ma:versionID="5d7d323cb123a0716d5210f918666f0b">
  <xsd:schema xmlns:xsd="http://www.w3.org/2001/XMLSchema" xmlns:xs="http://www.w3.org/2001/XMLSchema" xmlns:p="http://schemas.microsoft.com/office/2006/metadata/properties" xmlns:ns2="0f6f1245-adcc-4492-ab9a-d69ea6f9f195" xmlns:ns3="f6a384a8-8c25-49cd-90fc-39beb0baa44c" targetNamespace="http://schemas.microsoft.com/office/2006/metadata/properties" ma:root="true" ma:fieldsID="cfdbaf2ed9caea5b225bab0d2854b9fb" ns2:_="" ns3:_="">
    <xsd:import namespace="0f6f1245-adcc-4492-ab9a-d69ea6f9f195"/>
    <xsd:import namespace="f6a384a8-8c25-49cd-90fc-39beb0baa4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6f1245-adcc-4492-ab9a-d69ea6f9f1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a01b2c1b-5ef4-42e0-a65e-68403aac17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6a384a8-8c25-49cd-90fc-39beb0baa44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cba180c-2ecb-417a-b783-efeecc035850}" ma:internalName="TaxCatchAll" ma:showField="CatchAllData" ma:web="f6a384a8-8c25-49cd-90fc-39beb0baa4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200534-350E-48E8-AEDC-2521C7607A76}">
  <ds:schemaRefs>
    <ds:schemaRef ds:uri="http://schemas.microsoft.com/office/2006/metadata/properties"/>
    <ds:schemaRef ds:uri="http://schemas.microsoft.com/office/infopath/2007/PartnerControls"/>
    <ds:schemaRef ds:uri="f6a384a8-8c25-49cd-90fc-39beb0baa44c"/>
    <ds:schemaRef ds:uri="0f6f1245-adcc-4492-ab9a-d69ea6f9f195"/>
  </ds:schemaRefs>
</ds:datastoreItem>
</file>

<file path=customXml/itemProps2.xml><?xml version="1.0" encoding="utf-8"?>
<ds:datastoreItem xmlns:ds="http://schemas.openxmlformats.org/officeDocument/2006/customXml" ds:itemID="{DF57BE64-268C-4128-A1D8-6022360724C3}">
  <ds:schemaRefs>
    <ds:schemaRef ds:uri="http://schemas.microsoft.com/sharepoint/v3/contenttype/forms"/>
  </ds:schemaRefs>
</ds:datastoreItem>
</file>

<file path=customXml/itemProps3.xml><?xml version="1.0" encoding="utf-8"?>
<ds:datastoreItem xmlns:ds="http://schemas.openxmlformats.org/officeDocument/2006/customXml" ds:itemID="{C24DFCDD-7091-4A78-9886-7728119E68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6f1245-adcc-4492-ab9a-d69ea6f9f195"/>
    <ds:schemaRef ds:uri="f6a384a8-8c25-49cd-90fc-39beb0baa4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RMI y RILD</vt:lpstr>
      <vt:lpstr>RI_n</vt:lpstr>
      <vt:lpstr>explicación</vt:lpstr>
      <vt:lpstr>ri</vt:lpstr>
      <vt:lpstr>Hoja1</vt:lpstr>
      <vt:lpstr>explicación!Área_de_impresión</vt:lpstr>
      <vt:lpstr>'RMI y RILD'!hoja1</vt:lpstr>
      <vt:lpstr>explicación!OLE_LINK3</vt:lpstr>
    </vt:vector>
  </TitlesOfParts>
  <Company>Banco Central del Ecuador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mcsanchez</dc:creator>
  <cp:lastModifiedBy>Danny Sebastián Plaza Sánchez</cp:lastModifiedBy>
  <cp:lastPrinted>2012-03-12T16:33:46Z</cp:lastPrinted>
  <dcterms:created xsi:type="dcterms:W3CDTF">2006-01-23T17:32:58Z</dcterms:created>
  <dcterms:modified xsi:type="dcterms:W3CDTF">2026-01-30T03:11:40Z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0x0101006946EE17AB057C4FA5ECBF5C4A9460A6</vt:lpwstr>
  </property>
  <property fmtid="{D5CDD505-2E9C-101B-9397-08002B2CF9AE}" pid="3" name="MediaServiceImageTags">
    <vt:lpwstr/>
  </property>
</Properties>
</file>